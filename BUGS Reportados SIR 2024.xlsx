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kfc-my.sharepoint.com/personal/stephanie_molina_kfc_com_ec/Documents/SIR/"/>
    </mc:Choice>
  </mc:AlternateContent>
  <xr:revisionPtr revIDLastSave="6119" documentId="8_{43C10DBE-7BB1-48C7-8210-269E63AB3D32}" xr6:coauthVersionLast="47" xr6:coauthVersionMax="47" xr10:uidLastSave="{AE956A34-C94D-4421-9C0C-87C828A04869}"/>
  <bookViews>
    <workbookView xWindow="-28920" yWindow="-3330" windowWidth="29040" windowHeight="15720" xr2:uid="{350FE263-8C04-4D4A-AAD5-30558A5D3A43}"/>
  </bookViews>
  <sheets>
    <sheet name="SIR" sheetId="1" r:id="rId1"/>
    <sheet name="MXP" sheetId="3" r:id="rId2"/>
    <sheet name="Ecommerce" sheetId="4" r:id="rId3"/>
    <sheet name="S.I" sheetId="5" r:id="rId4"/>
    <sheet name="ERP" sheetId="2" r:id="rId5"/>
  </sheets>
  <definedNames>
    <definedName name="_xlnm._FilterDatabase" localSheetId="2" hidden="1">Ecommerce!$A$1:$O$28</definedName>
    <definedName name="_xlnm._FilterDatabase" localSheetId="1" hidden="1">MXP!$A$1:$Q$1</definedName>
    <definedName name="_xlnm._FilterDatabase" localSheetId="0" hidden="1">SIR!$A$1:$V$186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P8" i="4"/>
  <c r="P9" i="4"/>
  <c r="P10" i="4"/>
  <c r="P11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1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tc={98FF022F-6EFE-4748-8B8C-1F51945A33B3}</author>
  </authors>
  <commentList>
    <comment ref="D1" authorId="0" shapeId="0" xr:uid="{98FF022F-6EFE-4748-8B8C-1F51945A33B3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1. Alto
2. Medio
3. Bajo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tc={81941435-3804-475D-A4CE-05ECA13D0CB7}</author>
  </authors>
  <commentList>
    <comment ref="D1" authorId="0" shapeId="0" xr:uid="{81941435-3804-475D-A4CE-05ECA13D0CB7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1. Alto
2. Medio
3. Bajo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tc={D7383695-9BDC-419B-B9DA-DB56BFA67EC6}</author>
  </authors>
  <commentList>
    <comment ref="A1" authorId="0" shapeId="0" xr:uid="{D7383695-9BDC-419B-B9DA-DB56BFA67EC6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1. Alto
2. Medio
3. Bajo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tc={0B09ACD0-513A-4A15-A7C9-200F4F3AE9B0}</author>
  </authors>
  <commentList>
    <comment ref="C1" authorId="0" shapeId="0" xr:uid="{0B09ACD0-513A-4A15-A7C9-200F4F3AE9B0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1. Alto
2. Medio
3. Bajo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tc={A74EB8C7-E9B6-4097-9F1D-2B22060293F1}</author>
  </authors>
  <commentList>
    <comment ref="C1" authorId="0" shapeId="0" xr:uid="{A74EB8C7-E9B6-4097-9F1D-2B22060293F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1. Alto
2. Medio
3. Bajo
</t>
      </text>
    </comment>
  </commentList>
</comments>
</file>

<file path=xl/sharedStrings.xml><?xml version="1.0" encoding="utf-8"?>
<sst xmlns="http://schemas.openxmlformats.org/spreadsheetml/2006/main" count="1772" uniqueCount="477">
  <si>
    <t>#</t>
  </si>
  <si>
    <t>anio</t>
  </si>
  <si>
    <t>version</t>
  </si>
  <si>
    <t>prioridad</t>
  </si>
  <si>
    <t>prioridad DB</t>
  </si>
  <si>
    <t>sprint Reportes</t>
  </si>
  <si>
    <t>PAIS</t>
  </si>
  <si>
    <t>Detalle paises</t>
  </si>
  <si>
    <t>NOVEDAD</t>
  </si>
  <si>
    <t>Responsable de Reporte</t>
  </si>
  <si>
    <t>Despliegue tentativo</t>
  </si>
  <si>
    <t>Sprint despliegue</t>
  </si>
  <si>
    <t>Fecha Reporte</t>
  </si>
  <si>
    <t>Status</t>
  </si>
  <si>
    <t>tarjeta Devops</t>
  </si>
  <si>
    <t>caso aranda</t>
  </si>
  <si>
    <t>Responsable reporte</t>
  </si>
  <si>
    <t>Reduccion</t>
  </si>
  <si>
    <t>Tipo</t>
  </si>
  <si>
    <t>Observacion</t>
  </si>
  <si>
    <t>Impacto</t>
  </si>
  <si>
    <t>pais afectado</t>
  </si>
  <si>
    <t>España</t>
  </si>
  <si>
    <t>time out al realizar la carga masiva</t>
  </si>
  <si>
    <t>Stephanie</t>
  </si>
  <si>
    <t>Produccion</t>
  </si>
  <si>
    <t>Venezuela</t>
  </si>
  <si>
    <t>cajeron se duplican en dos cierres de caja (Ajustes Cierres Cajas)</t>
  </si>
  <si>
    <t>devoluciones en estado en proceso</t>
  </si>
  <si>
    <t>Argentina</t>
  </si>
  <si>
    <t>calculo en el reporte de remitos</t>
  </si>
  <si>
    <t xml:space="preserve">reporte Error en títulos del reporte de usos y consumos + merma. </t>
  </si>
  <si>
    <t>Ecuador</t>
  </si>
  <si>
    <t>no se ejecuta según la progracion de mayores tienda</t>
  </si>
  <si>
    <t>envio de correos de facturas caducadas cada lunes</t>
  </si>
  <si>
    <t>requerimiento</t>
  </si>
  <si>
    <t>logo de cañas y tapas no se visualiza en la pantalla principal</t>
  </si>
  <si>
    <t>Colombia</t>
  </si>
  <si>
    <t>error al descargar el excel de la pantalla de administracion de articulos</t>
  </si>
  <si>
    <t>reporte MDI Art. Individual</t>
  </si>
  <si>
    <t>Daniel</t>
  </si>
  <si>
    <t>Regional</t>
  </si>
  <si>
    <t>Ecuador / Colombia</t>
  </si>
  <si>
    <t>fechas de busqueda en pantalla de auditoria de compras</t>
  </si>
  <si>
    <t>Chile</t>
  </si>
  <si>
    <t>generar excel de PYG</t>
  </si>
  <si>
    <t>revision de articulos para las plantas de colombia</t>
  </si>
  <si>
    <t xml:space="preserve">creacion de logistica de pedidos </t>
  </si>
  <si>
    <t>Error en el reporte Estado PYG - Consolidado PyG</t>
  </si>
  <si>
    <t>reporte de consolidado de ventas diario</t>
  </si>
  <si>
    <t>stephanie</t>
  </si>
  <si>
    <t>inconveniente al insertar clientesAX - Colombia</t>
  </si>
  <si>
    <t>Error en reporte cierre de mes</t>
  </si>
  <si>
    <t>ERROR AL EXPORTAR TRANSFERENCIAS</t>
  </si>
  <si>
    <t>Argentina / Ecuador</t>
  </si>
  <si>
    <t>ingresar al inventario diario en Argentina y Ecuador</t>
  </si>
  <si>
    <t>Produccion para Ecuador</t>
  </si>
  <si>
    <t>1.12.2</t>
  </si>
  <si>
    <t>Error en reporte USOS Y CONSUMOS del SIR</t>
  </si>
  <si>
    <t>1,15,0</t>
  </si>
  <si>
    <t>administracion de articulos asignacion de cadenas a articulos</t>
  </si>
  <si>
    <t>importacion de articulos</t>
  </si>
  <si>
    <t>ecuador</t>
  </si>
  <si>
    <t>novedades con el api de creditos sin cupon</t>
  </si>
  <si>
    <t>carga masiva control de facturas</t>
  </si>
  <si>
    <t>Error al actualizar bodegas</t>
  </si>
  <si>
    <t>mismo que 4255</t>
  </si>
  <si>
    <t>1.15.0</t>
  </si>
  <si>
    <t xml:space="preserve">recuperar compras Ecuador </t>
  </si>
  <si>
    <t>ingreso de sobres</t>
  </si>
  <si>
    <t>Produccion en produccion se saco la informacion del 2023 y se puso en otra tabla</t>
  </si>
  <si>
    <t>1,14,0</t>
  </si>
  <si>
    <t>actualizar costos articulos sin articulo_erp ECU</t>
  </si>
  <si>
    <t>para el martes 04-06 esta en produccion</t>
  </si>
  <si>
    <t>actualizar costos articulos sin articulo_erp</t>
  </si>
  <si>
    <t>1.14.0</t>
  </si>
  <si>
    <t>actualizar costos articulos sin articulo_erp CH - ESP -ECU</t>
  </si>
  <si>
    <t>despligue echo en españa, falta chile</t>
  </si>
  <si>
    <t>exportacion de pedidos COL</t>
  </si>
  <si>
    <t>realizar el seguimiento de log</t>
  </si>
  <si>
    <t>Envio de pedidos Ecuador</t>
  </si>
  <si>
    <t xml:space="preserve"> Reporte de Tarjetas (no permite visualizar todos los campos )</t>
  </si>
  <si>
    <t xml:space="preserve">415131
</t>
  </si>
  <si>
    <t>Actualizar tomafisica de articulos en la tabla articuloscadena</t>
  </si>
  <si>
    <t>Crear Restaurante con ubicación error COL - ARG</t>
  </si>
  <si>
    <t>Aun no se despliega</t>
  </si>
  <si>
    <t>Colombia / Ecuador</t>
  </si>
  <si>
    <t>Permite editar las devoluciones en estado Asentado</t>
  </si>
  <si>
    <t>Creacion de logistica de pedidos Anual - suministros</t>
  </si>
  <si>
    <t>Requerimientos</t>
  </si>
  <si>
    <t>Hay que hacer pruebas en KSIR</t>
  </si>
  <si>
    <t>activacion de pantalla de administracion de bancos para restaurante</t>
  </si>
  <si>
    <t xml:space="preserve">administracion de articulos regional </t>
  </si>
  <si>
    <t>11/06/22024</t>
  </si>
  <si>
    <t xml:space="preserve">consumo de api de creditos </t>
  </si>
  <si>
    <t>No permite crear articulos para colombia</t>
  </si>
  <si>
    <t>Incidente</t>
  </si>
  <si>
    <t>falta desplegar</t>
  </si>
  <si>
    <t>envio de correos de colombia</t>
  </si>
  <si>
    <t>reporte swt autorizacion 00000</t>
  </si>
  <si>
    <t>Actualizar bodegas Ecuador</t>
  </si>
  <si>
    <t>cargas masivas proveedores</t>
  </si>
  <si>
    <t>se eliminan los ajustes de cierres de caja</t>
  </si>
  <si>
    <t>reporte de usos y consumo + merma</t>
  </si>
  <si>
    <t>revisar</t>
  </si>
  <si>
    <t>cargo de logo para cadena las tapas de juan</t>
  </si>
  <si>
    <t xml:space="preserve"> Incluir la función UPPER CASE en la interface de ventas</t>
  </si>
  <si>
    <t>crear cadena españa</t>
  </si>
  <si>
    <t>cuando se despliegue el SAGE</t>
  </si>
  <si>
    <t>asentar devoluciones</t>
  </si>
  <si>
    <t>cancelar ordenes de pedido España</t>
  </si>
  <si>
    <t>control al insertar plus Ecuador</t>
  </si>
  <si>
    <t xml:space="preserve">Consultar </t>
  </si>
  <si>
    <t>no se visualiza el campo texto adicional en VEN/ COL mayores contables</t>
  </si>
  <si>
    <t>ingreso de depositos</t>
  </si>
  <si>
    <t>Requerimientos / Incidente</t>
  </si>
  <si>
    <t>pantalla de recetas (plus)</t>
  </si>
  <si>
    <t>España- Bug Agregar tomas físicas (QA)</t>
  </si>
  <si>
    <t>Asentar devoluciones Colombia</t>
  </si>
  <si>
    <t>requerimientos</t>
  </si>
  <si>
    <t>Actualización de campo Importado Cierre Cajas</t>
  </si>
  <si>
    <t>Error en Mermas al asentar</t>
  </si>
  <si>
    <t xml:space="preserve">Diferencia en decimales del reporte PYG </t>
  </si>
  <si>
    <t>crear restaurante Venezuela</t>
  </si>
  <si>
    <t>modificar costos de proveedor externo</t>
  </si>
  <si>
    <t>reporte de transferencia + - y consolidado</t>
  </si>
  <si>
    <t>mayores contables no cambia de bolivares a dolares</t>
  </si>
  <si>
    <t>Error en reporte Usos y Consumos Venezuela</t>
  </si>
  <si>
    <t>no se envian las copias en correos de tesalia</t>
  </si>
  <si>
    <t xml:space="preserve">configuracion de cuentas de bancos </t>
  </si>
  <si>
    <t>importacion de mayores contables CAR</t>
  </si>
  <si>
    <t>Transferencias (Activos) exportadas y asentadas se pueden eliminar</t>
  </si>
  <si>
    <t>Transferencias de activos exportadas se pueden rechazar</t>
  </si>
  <si>
    <t xml:space="preserve">799214
</t>
  </si>
  <si>
    <t>CONFIGURAR CENTROS DE COSTOS (OTROS)- ENVIO MAYORES CONTABLES CAR</t>
  </si>
  <si>
    <t>Error en el reporte de Tesalia</t>
  </si>
  <si>
    <t>volver a reportar</t>
  </si>
  <si>
    <t xml:space="preserve">Calculo de subtotal en Compras </t>
  </si>
  <si>
    <t>requerimientos para españa</t>
  </si>
  <si>
    <t xml:space="preserve"> V 1.28.1.1</t>
  </si>
  <si>
    <t xml:space="preserve">Crear formas de pago </t>
  </si>
  <si>
    <t>Error en el logo de Federer</t>
  </si>
  <si>
    <t>Colombia / Venezuela</t>
  </si>
  <si>
    <t>Costo errado al ingresar las mermas VEN</t>
  </si>
  <si>
    <t xml:space="preserve">	
805369</t>
  </si>
  <si>
    <t>Cambiar categoria</t>
  </si>
  <si>
    <t>españa /venezuela /ecuador</t>
  </si>
  <si>
    <t>ingreso y calculo de compras</t>
  </si>
  <si>
    <t>relacion de articulos regional</t>
  </si>
  <si>
    <t>Creación de inventarios El Español</t>
  </si>
  <si>
    <t xml:space="preserve">España </t>
  </si>
  <si>
    <t xml:space="preserve">Bug Ordenes de Pedidos España </t>
  </si>
  <si>
    <t>Error en horneados El Español</t>
  </si>
  <si>
    <t>V.1.29.1.1</t>
  </si>
  <si>
    <t>mayore contables</t>
  </si>
  <si>
    <t>bug para que tome años diferente al en curso</t>
  </si>
  <si>
    <t>V 1.28.1.1</t>
  </si>
  <si>
    <t>reporte de categorias plus</t>
  </si>
  <si>
    <t>Error importación Mayores</t>
  </si>
  <si>
    <t>Veronica Suntaxi</t>
  </si>
  <si>
    <t>Exportacion de ventas cambio de estado</t>
  </si>
  <si>
    <t>1,40,1,1</t>
  </si>
  <si>
    <t xml:space="preserve">canje de cupones </t>
  </si>
  <si>
    <t>Vanessa  Soria</t>
  </si>
  <si>
    <t>incidente</t>
  </si>
  <si>
    <t>informar a clientes</t>
  </si>
  <si>
    <t>V.1.33.1.1</t>
  </si>
  <si>
    <t>ecu - chi -col -ven</t>
  </si>
  <si>
    <t>Reporte de Transferencia +/- ITEMS</t>
  </si>
  <si>
    <t>Jhustin Vergara</t>
  </si>
  <si>
    <t>Error en decimales a recuperar compra</t>
  </si>
  <si>
    <t>Cambio de moneda en el reporte de concialiacion bancaria</t>
  </si>
  <si>
    <t>Reporte de solicitud de cupones</t>
  </si>
  <si>
    <t>correccion de un requerimieno</t>
  </si>
  <si>
    <t>Error al generar transferencias negativas SIR</t>
  </si>
  <si>
    <t>administracion de articulos colombia</t>
  </si>
  <si>
    <t>crear  BR la tarea</t>
  </si>
  <si>
    <t>Error en reporte del Mix</t>
  </si>
  <si>
    <t>V.1.32.2.1</t>
  </si>
  <si>
    <t>Devoluciones Consolidado - Exportar Excel - Error (Venezuela)</t>
  </si>
  <si>
    <t>Creacion de invenatrio por areas B001 Y F003</t>
  </si>
  <si>
    <t>10
2</t>
  </si>
  <si>
    <t>requerimientos
Incidente</t>
  </si>
  <si>
    <t>Timeout - Reporte de compras Consolidado</t>
  </si>
  <si>
    <t>Vane</t>
  </si>
  <si>
    <t>mayores contable carga de cadenas grandes</t>
  </si>
  <si>
    <t>Reapertura</t>
  </si>
  <si>
    <t>Katherine Narvaez</t>
  </si>
  <si>
    <t>bug para la carga de kfc no se completa</t>
  </si>
  <si>
    <t>V1.30.1.1</t>
  </si>
  <si>
    <t>NUM_PLU Reporte  Mix por departamentos</t>
  </si>
  <si>
    <t>ingreso de lunch</t>
  </si>
  <si>
    <t>V.1.35.1.1</t>
  </si>
  <si>
    <t>Inventario Mensual F003 - B001 no se puede ingresar</t>
  </si>
  <si>
    <t>CX</t>
  </si>
  <si>
    <t>V1,36,1,1</t>
  </si>
  <si>
    <t>Bloqueo pedidos Tesalia (no funciona)</t>
  </si>
  <si>
    <t>Andres Valencia</t>
  </si>
  <si>
    <t>ingreso  y rgistro de inventarios PDA</t>
  </si>
  <si>
    <t>8
4</t>
  </si>
  <si>
    <t>Incidente
requerimientos</t>
  </si>
  <si>
    <t>mayores contables CAR</t>
  </si>
  <si>
    <t>seguimiento</t>
  </si>
  <si>
    <t>1,38,1,1</t>
  </si>
  <si>
    <t>Recuperar compras duplicadas</t>
  </si>
  <si>
    <t>William Collago</t>
  </si>
  <si>
    <t>Error en el costo del Lunch Argentina</t>
  </si>
  <si>
    <t>Martin Ponce</t>
  </si>
  <si>
    <t>Asentado Automático pedidos SIR no funciona</t>
  </si>
  <si>
    <t>1,47,1,1</t>
  </si>
  <si>
    <t>Validacion Creación de usuarios Pasaporte</t>
  </si>
  <si>
    <t>Stephany Molina</t>
  </si>
  <si>
    <t>Soporte</t>
  </si>
  <si>
    <t>Administracion de articulos regional</t>
  </si>
  <si>
    <t>colombia</t>
  </si>
  <si>
    <t>Recuperar compras automáticas</t>
  </si>
  <si>
    <t>William villegas / katherine tipan. Ana moreno</t>
  </si>
  <si>
    <t>incidentes</t>
  </si>
  <si>
    <t>Error al canjear Cupones Digitales</t>
  </si>
  <si>
    <t>Daniel Alvaro</t>
  </si>
  <si>
    <t xml:space="preserve"> Solicitud CCC - tipo CCC</t>
  </si>
  <si>
    <t>Tania Gallardo</t>
  </si>
  <si>
    <t>Solicitud CCC - Eliminar CCC</t>
  </si>
  <si>
    <t>1,41,1,1</t>
  </si>
  <si>
    <t>Error al crear logisticas I012</t>
  </si>
  <si>
    <t>conciliacion bancaria Venezuela</t>
  </si>
  <si>
    <t xml:space="preserve">Vanessa Soria </t>
  </si>
  <si>
    <t>Ecuador, Colombia</t>
  </si>
  <si>
    <t>Asentado automático de pedidos (Proveedores Externos)</t>
  </si>
  <si>
    <t>Andrés Valencia</t>
  </si>
  <si>
    <t>Exportacion de ventas Colombia</t>
  </si>
  <si>
    <t>Victor Restrepo / Stephanie Molina</t>
  </si>
  <si>
    <t>Defecto: Lista de cupones virtuales EC</t>
  </si>
  <si>
    <t>Adriana Jimenez</t>
  </si>
  <si>
    <t>Reporte Transferencias CHI</t>
  </si>
  <si>
    <t>Vanesa Soria</t>
  </si>
  <si>
    <t>conciliadores Chile</t>
  </si>
  <si>
    <t>marco monta</t>
  </si>
  <si>
    <t>Asentar depositos Ecu</t>
  </si>
  <si>
    <t>Error al crear cabeceras de Pedidos</t>
  </si>
  <si>
    <t>William Villegas</t>
  </si>
  <si>
    <t>Redondeo en el Reporte Estadistica</t>
  </si>
  <si>
    <t>Vladimir Morillo</t>
  </si>
  <si>
    <t>7
700</t>
  </si>
  <si>
    <t>regional</t>
  </si>
  <si>
    <t>1,43,1,1</t>
  </si>
  <si>
    <t>Abrir inventario físico por Área</t>
  </si>
  <si>
    <t>Error al asentar inventario SIR</t>
  </si>
  <si>
    <t>1,45,1,1</t>
  </si>
  <si>
    <t>Asentar pyg</t>
  </si>
  <si>
    <t>cupones empresariales</t>
  </si>
  <si>
    <t>Distribucion de pedido</t>
  </si>
  <si>
    <t>vanesa soria</t>
  </si>
  <si>
    <t>impresion de PYG</t>
  </si>
  <si>
    <t>Error al crear Control de Aceite quemado</t>
  </si>
  <si>
    <t>Operaciones</t>
  </si>
  <si>
    <t>Error al asentar inventario (España)</t>
  </si>
  <si>
    <t>Jesion Caguana (Eapaña)</t>
  </si>
  <si>
    <t>chile</t>
  </si>
  <si>
    <t>conciliadores chile Fecha</t>
  </si>
  <si>
    <t>Diego Vinueza</t>
  </si>
  <si>
    <t>Mermas asentadas permiten editar</t>
  </si>
  <si>
    <t>Abrir inventario con perfil gerente local</t>
  </si>
  <si>
    <t>william villegas</t>
  </si>
  <si>
    <t>conciliadores chile cambio de campo</t>
  </si>
  <si>
    <t>intefaz loyvers</t>
  </si>
  <si>
    <t>Alejandro Lascano</t>
  </si>
  <si>
    <t>exportacion diarios de inventario</t>
  </si>
  <si>
    <t>Carmen Tonato</t>
  </si>
  <si>
    <t>Ecuador, Colombia, Venezuela, Argentina</t>
  </si>
  <si>
    <t>Error en el reporte de Transferencias SIR</t>
  </si>
  <si>
    <t>Emanual Villalba, Victor Restrepo</t>
  </si>
  <si>
    <t xml:space="preserve">1
</t>
  </si>
  <si>
    <t xml:space="preserve">Incidente
</t>
  </si>
  <si>
    <t>Exportar Solicitud Cupones a SAP - Cupones V2</t>
  </si>
  <si>
    <t>1,49,1,1</t>
  </si>
  <si>
    <t>Reporte compras consolidad</t>
  </si>
  <si>
    <t>Carlos</t>
  </si>
  <si>
    <t>Kathy Narvaez / Sandra rocha</t>
  </si>
  <si>
    <t>Botón Articulo-LUNCH</t>
  </si>
  <si>
    <t>M005</t>
  </si>
  <si>
    <t>Legal y Mandatorio</t>
  </si>
  <si>
    <t>Tania Gallardo / Adriana Jimenez</t>
  </si>
  <si>
    <t>administracion de articulos VUE3</t>
  </si>
  <si>
    <t>Laura Paz</t>
  </si>
  <si>
    <t>Operación</t>
  </si>
  <si>
    <t>Sobres V2</t>
  </si>
  <si>
    <t>Emanual Villalba</t>
  </si>
  <si>
    <t>1,53,1,1</t>
  </si>
  <si>
    <t>exportacion cajas chicas</t>
  </si>
  <si>
    <t>853348 </t>
  </si>
  <si>
    <t xml:space="preserve">kathy narvaez </t>
  </si>
  <si>
    <t>1,52,1,1</t>
  </si>
  <si>
    <t>Exportacion Inventarios</t>
  </si>
  <si>
    <t>Kathy Narvaez/William Villegas</t>
  </si>
  <si>
    <t xml:space="preserve">2
</t>
  </si>
  <si>
    <t>depositos v2</t>
  </si>
  <si>
    <t>Reporte compras consolidado</t>
  </si>
  <si>
    <t>interfaz Loyvers</t>
  </si>
  <si>
    <t>reporte de excel cupones digitales</t>
  </si>
  <si>
    <t>Ordenes de pedido Externo</t>
  </si>
  <si>
    <t>soporte</t>
  </si>
  <si>
    <t>administración de artículo proveedor VUE3</t>
  </si>
  <si>
    <t>produccion</t>
  </si>
  <si>
    <t>Administración de Proveedor</t>
  </si>
  <si>
    <t>Emanuel Villalva</t>
  </si>
  <si>
    <t>1,60,1,1</t>
  </si>
  <si>
    <t xml:space="preserve">Envio de Correos Arg </t>
  </si>
  <si>
    <t>Reporte Exportacion diario ERP</t>
  </si>
  <si>
    <t>Auditoria</t>
  </si>
  <si>
    <t>Control de Bidones de Aceite Quemado</t>
  </si>
  <si>
    <t>Stephanie Molina</t>
  </si>
  <si>
    <t>Solicitud de CCC V1 y V2 - cupones digitales</t>
  </si>
  <si>
    <t>Exportación Diarios ERP Archivo CSV</t>
  </si>
  <si>
    <t>brasil</t>
  </si>
  <si>
    <t>cierre de caja creditos sin cupon</t>
  </si>
  <si>
    <t>nathy sanchez</t>
  </si>
  <si>
    <t>BR - interfaz de ventas</t>
  </si>
  <si>
    <t>apertura de inventarios por area mensual</t>
  </si>
  <si>
    <t>INVENTARIO FINAL (FÍSICO)</t>
  </si>
  <si>
    <t>reporte 52 semanas v2</t>
  </si>
  <si>
    <t>Venezuela, Colombia</t>
  </si>
  <si>
    <t>Error en la creación de inventario diario, semanal</t>
  </si>
  <si>
    <t>BUG INGRESO LUNCH</t>
  </si>
  <si>
    <r>
      <t>#</t>
    </r>
    <r>
      <rPr>
        <sz val="12"/>
        <color rgb="FF000000"/>
        <rFont val="Aptos"/>
        <family val="2"/>
      </rPr>
      <t>29322</t>
    </r>
  </si>
  <si>
    <t>Victor Restrepo</t>
  </si>
  <si>
    <t xml:space="preserve"> C.Estado | Gastos Caja Chica V2</t>
  </si>
  <si>
    <t>URL - Administración Cupones</t>
  </si>
  <si>
    <t>Pedidos Sugeridos - Filtros</t>
  </si>
  <si>
    <t>Exportación Ventas BS- CN</t>
  </si>
  <si>
    <t>#39236</t>
  </si>
  <si>
    <t>Carlos Salazar</t>
  </si>
  <si>
    <t>Duplicidad Mermas Y Compras-CCH</t>
  </si>
  <si>
    <t>Actualización Tipo de Toma</t>
  </si>
  <si>
    <t>Sara</t>
  </si>
  <si>
    <t>#40996</t>
  </si>
  <si>
    <t>Sara Quiguango</t>
  </si>
  <si>
    <t>Logística de Pedidos</t>
  </si>
  <si>
    <t>#53582</t>
  </si>
  <si>
    <t>Brasil</t>
  </si>
  <si>
    <t>Defecto Proyección de Producción V2</t>
  </si>
  <si>
    <t>Cajas – Registro De Fondos Caja Chica y Cambio</t>
  </si>
  <si>
    <t>Monserrat Sanda</t>
  </si>
  <si>
    <t>Loyvers</t>
  </si>
  <si>
    <t>Cupones de Nómina</t>
  </si>
  <si>
    <t>Santiago Cardenas</t>
  </si>
  <si>
    <t>Duplicidad al dar clic en el botón guardar compras</t>
  </si>
  <si>
    <t>Escalado a desarrollo</t>
  </si>
  <si>
    <t>reporte de aceite quemado</t>
  </si>
  <si>
    <t>Compras Caja Chica</t>
  </si>
  <si>
    <t>Guías de Despacho Genéricos</t>
  </si>
  <si>
    <t>Cupones Digitales</t>
  </si>
  <si>
    <t>Ordenes de Pedido V2</t>
  </si>
  <si>
    <t>1.18.4</t>
  </si>
  <si>
    <t>Misma orden de pedido genera varias facturas</t>
  </si>
  <si>
    <t>George Vera</t>
  </si>
  <si>
    <t>Seguimiento Cx</t>
  </si>
  <si>
    <t>Vladimir Murillo</t>
  </si>
  <si>
    <t>Error en interface cambio de turno</t>
  </si>
  <si>
    <t>Luis Suarez</t>
  </si>
  <si>
    <t>Facturas sin IDControlEstacion asignado</t>
  </si>
  <si>
    <t>Cristhian Taco</t>
  </si>
  <si>
    <t>Réplica v3 - Mantenimiento de logs</t>
  </si>
  <si>
    <t>Israel Cuestas</t>
  </si>
  <si>
    <t>solventado</t>
  </si>
  <si>
    <t>Requerimiento</t>
  </si>
  <si>
    <t>Cupones empresariales - No se muestra detalle del pedido</t>
  </si>
  <si>
    <t>Balanceo de Impresión</t>
  </si>
  <si>
    <t>Diana Pinta</t>
  </si>
  <si>
    <t>1.18.3</t>
  </si>
  <si>
    <t>Impresion Retiro Efectivo JAVA</t>
  </si>
  <si>
    <t>Cx - Error en impresión de comprobante – Versión 18.2</t>
  </si>
  <si>
    <t>Diferencia en valores de factura</t>
  </si>
  <si>
    <t>Desarrollo</t>
  </si>
  <si>
    <t>Validación de solicitud y ajustes en desglose de transferencias</t>
  </si>
  <si>
    <t>Turnero - Notificación de cambio de estado a trade para pedidos de pickup</t>
  </si>
  <si>
    <t>Jose Fernandez</t>
  </si>
  <si>
    <t>Gustavo Aconda</t>
  </si>
  <si>
    <t>Generador XML - Facturas Pickup / Counter</t>
  </si>
  <si>
    <t>Réplica v3 - Plus sin Impuestos o Doble Impuesto</t>
  </si>
  <si>
    <t>Inconsistencias en los datos de cupones en MXP</t>
  </si>
  <si>
    <t>Gustavo Pilco </t>
  </si>
  <si>
    <t>KDS versión Argentina - Cupones prepagados no se muestra en el KDS</t>
  </si>
  <si>
    <t>Copia de estaciones - Se crea una impresora para cada kiosko</t>
  </si>
  <si>
    <t>Réplica v3 - timestamp incorrecto</t>
  </si>
  <si>
    <t>Error en Interfaz</t>
  </si>
  <si>
    <t>Fue solventado por parte de Infraestrutura del pais</t>
  </si>
  <si>
    <t>Anulación de Kiosko</t>
  </si>
  <si>
    <t>Michel Machuca</t>
  </si>
  <si>
    <t>Problemas en Actualización de Descuento Mxp Azure</t>
  </si>
  <si>
    <t>Validacion de imagenes en Azure</t>
  </si>
  <si>
    <t>Revisar pedidos de domicilio que llegan con estado RECIBIDO en agregadores</t>
  </si>
  <si>
    <t>No se puede replicar el error. Se activará nuevamente cuando se tenga mayor detalle por parte de  CX del Pais</t>
  </si>
  <si>
    <t>Pedidos Delivery</t>
  </si>
  <si>
    <t>Favio Andrade</t>
  </si>
  <si>
    <t>Caracteres especiales delivery</t>
  </si>
  <si>
    <t>Orden de respuestas en impresión de comanda</t>
  </si>
  <si>
    <t>Revision de Configuraciones</t>
  </si>
  <si>
    <t>Devops - Réplica Inicial - Estructura de base de datos no es la correcta</t>
  </si>
  <si>
    <t>Vanessa Roria</t>
  </si>
  <si>
    <t>Devops</t>
  </si>
  <si>
    <t>Error en la generación de secuencia en facturación</t>
  </si>
  <si>
    <t>Se evidencia error al enviar el campo "Nombre" vacío en Cambio de datos clientes</t>
  </si>
  <si>
    <t>Réplica - Campo impuesto con valor cero</t>
  </si>
  <si>
    <t>Redeban - Maxpoint muestra monto distinto al enviado al datáfono 1/4</t>
  </si>
  <si>
    <t>Paula Cadena</t>
  </si>
  <si>
    <t>Defecto de Piloto</t>
  </si>
  <si>
    <t>Redeban - Pago parcial se pierde al refrescar página del POS, mostrando total completo 4/4</t>
  </si>
  <si>
    <t>5.7.3</t>
  </si>
  <si>
    <t>Reporte de Incidencias de Rendimiento en el Sistema</t>
  </si>
  <si>
    <t>Marco Monta</t>
  </si>
  <si>
    <t>Maxpoint no debe continuar el flujo si la impresora fiscal no está encedida/offline</t>
  </si>
  <si>
    <t>Alejandro Gutierrez</t>
  </si>
  <si>
    <t>Novedades con los Usuarios en K019 - Venezuela</t>
  </si>
  <si>
    <t>Se muestra medio yummy en turnero</t>
  </si>
  <si>
    <t>Venta por medio - Interfaz de Ventas SIR</t>
  </si>
  <si>
    <t>Alertas sitef en counter</t>
  </si>
  <si>
    <t>Error al registrar descuento al facturar - VE</t>
  </si>
  <si>
    <t>QA</t>
  </si>
  <si>
    <t>Prioridad</t>
  </si>
  <si>
    <t>País</t>
  </si>
  <si>
    <t>ID</t>
  </si>
  <si>
    <t>Descripción</t>
  </si>
  <si>
    <t>Sprint levantado</t>
  </si>
  <si>
    <t>Casos detectados</t>
  </si>
  <si>
    <t>Fecha despliegue</t>
  </si>
  <si>
    <t>Sprint Solución</t>
  </si>
  <si>
    <t>Casos post-solución</t>
  </si>
  <si>
    <t>Estado</t>
  </si>
  <si>
    <t>Diferencia</t>
  </si>
  <si>
    <t>Variación</t>
  </si>
  <si>
    <t>Defect</t>
  </si>
  <si>
    <t>Permite desasignar cajero PickUp con transacciones ingresadas</t>
  </si>
  <si>
    <t>Sprint 13</t>
  </si>
  <si>
    <t>New</t>
  </si>
  <si>
    <t>Error en impresión de facturas desde Kiosko con tarjeta– Argentina</t>
  </si>
  <si>
    <t>Sprint 15</t>
  </si>
  <si>
    <t>Descuadre en facturas con descuentos en tranferencia - QA</t>
  </si>
  <si>
    <t>Sprint 10</t>
  </si>
  <si>
    <t>Done</t>
  </si>
  <si>
    <t>Impresión Fin de día incorrecto</t>
  </si>
  <si>
    <t>Descuadre en facturas con descuentos en tranferencia - PRD</t>
  </si>
  <si>
    <t>Sprint 11</t>
  </si>
  <si>
    <t>API Kiosko V3 - Integración de Endpoint para envío de órdenes al KDS - Desarrollo</t>
  </si>
  <si>
    <t>Envío de Json duplicado en sincronización Chile - PRD</t>
  </si>
  <si>
    <t>Duplicación visual en transacciones cerradas en pantalla de domicilio</t>
  </si>
  <si>
    <t>Sprint 12</t>
  </si>
  <si>
    <t>Reporte de Transacciones Switch Pasado media noche</t>
  </si>
  <si>
    <t>Error en Store Procedure para integración Zaimy</t>
  </si>
  <si>
    <t>Error en facturas con tarjeta kiosko - PRD</t>
  </si>
  <si>
    <t>Nequi - Corrección de Almacenamiento del Medio de Pago Nequi en API Kiosko V3</t>
  </si>
  <si>
    <t>Mantenimiento - Duplicación de envíos JSON en sincronización de menú, listas y especiales cl - PRD</t>
  </si>
  <si>
    <t>Sprint 14</t>
  </si>
  <si>
    <t>Kioskos - Transacciones con datos imprime consumidor final</t>
  </si>
  <si>
    <t>Error integración Ordenes Uber de productos con descripción superior al limite de caracteres</t>
  </si>
  <si>
    <t>No se puede desmontar cajero por orden pendiente en PickUp</t>
  </si>
  <si>
    <t>El valor procesado en D-una no es el valor de la factura</t>
  </si>
  <si>
    <t>Desmontado de cajero con transacciones sin cerrar PickUp Efectivo</t>
  </si>
  <si>
    <t>Feature</t>
  </si>
  <si>
    <t>Cliente no puede acceder a nueva campaña de subvención debido a restricción heredada</t>
  </si>
  <si>
    <t>CLIENTE "CONSUMIDOR FINAL" EN ÓRDENES DE AGREGADORES</t>
  </si>
  <si>
    <t>Proceso de Fin de Día bloqueado por validación de cajeros</t>
  </si>
  <si>
    <t>Sprint 16</t>
  </si>
  <si>
    <t>Transacciones huérfanas tipo PickUp</t>
  </si>
  <si>
    <t>Reverso de pago Deuna al cambiar datos de factura en Counter - Qa</t>
  </si>
  <si>
    <t>In progress</t>
  </si>
  <si>
    <t>Transacciones Deuna aparecen en fecha incorrecta en el reporte SwT</t>
  </si>
  <si>
    <t>Despliegue</t>
  </si>
  <si>
    <t>Error en la asignación de motorizados y pedidos en Dragon Tail - Piloto</t>
  </si>
  <si>
    <t>Approved</t>
  </si>
  <si>
    <t>Correción en monitor delivery (cl) - PRD</t>
  </si>
  <si>
    <t>In Progress</t>
  </si>
  <si>
    <t>Correción en monitor delivery (co) - PRD</t>
  </si>
  <si>
    <t>sprint</t>
  </si>
  <si>
    <t>Fecha Respuesta DEV</t>
  </si>
  <si>
    <t>Fecha QA</t>
  </si>
  <si>
    <t>Observacion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</si>
</sst>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theme="1"/>
      <name val="Segoe UI"/>
      <family val="2"/>
    </font>
    <font>
      <sz val="11"/>
      <color rgb="FF000000"/>
      <name val="Aptos"/>
      <family val="2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</font>
    <font>
      <sz val="12"/>
      <color theme="1"/>
      <name val="Inter"/>
      <charset val="1"/>
    </font>
    <font>
      <sz val="13"/>
      <color rgb="FF000000"/>
      <name val="Segoe UI VSS (Regular)"/>
      <charset val="1"/>
    </font>
    <font>
      <b/>
      <sz val="10"/>
      <color theme="1"/>
      <name val="Aptos Narrow"/>
      <family val="2"/>
      <scheme val="minor"/>
    </font>
    <font>
      <sz val="10"/>
      <color rgb="FF000000"/>
      <name val="Segoe UI VSS (Regular)"/>
      <charset val="1"/>
    </font>
    <font>
      <sz val="10"/>
      <color theme="1"/>
      <name val="Aptos Narrow"/>
      <family val="2"/>
      <scheme val="minor"/>
    </font>
    <font>
      <sz val="11"/>
      <color theme="1"/>
      <name val="Inter"/>
      <charset val="1"/>
    </font>
    <font>
      <sz val="12"/>
      <color rgb="FF000000"/>
      <name val="Bahnschrift Light"/>
      <family val="2"/>
    </font>
    <font>
      <sz val="11"/>
      <color theme="1"/>
      <name val="Rubik"/>
      <family val="2"/>
      <charset val="1"/>
    </font>
    <font>
      <sz val="11"/>
      <color theme="1"/>
      <name val="Inter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49" fontId="0" fillId="0" borderId="7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2" fontId="8" fillId="0" borderId="7" xfId="0" applyNumberFormat="1" applyFont="1" applyBorder="1"/>
    <xf numFmtId="0" fontId="8" fillId="0" borderId="7" xfId="0" applyFont="1" applyBorder="1"/>
    <xf numFmtId="0" fontId="1" fillId="2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9" fontId="1" fillId="2" borderId="7" xfId="0" applyNumberFormat="1" applyFont="1" applyFill="1" applyBorder="1" applyAlignment="1">
      <alignment horizontal="center" vertical="center" wrapText="1"/>
    </xf>
    <xf numFmtId="9" fontId="0" fillId="0" borderId="7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vertical="center" wrapText="1"/>
    </xf>
    <xf numFmtId="22" fontId="8" fillId="0" borderId="13" xfId="0" applyNumberFormat="1" applyFont="1" applyBorder="1"/>
    <xf numFmtId="0" fontId="0" fillId="0" borderId="13" xfId="0" applyBorder="1" applyAlignment="1">
      <alignment vertical="center"/>
    </xf>
    <xf numFmtId="0" fontId="8" fillId="0" borderId="13" xfId="0" applyFont="1" applyBorder="1"/>
    <xf numFmtId="0" fontId="8" fillId="0" borderId="15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22" fontId="8" fillId="0" borderId="12" xfId="0" applyNumberFormat="1" applyFont="1" applyBorder="1"/>
    <xf numFmtId="0" fontId="8" fillId="0" borderId="12" xfId="0" applyFont="1" applyBorder="1"/>
    <xf numFmtId="0" fontId="0" fillId="0" borderId="7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0" fillId="0" borderId="7" xfId="0" applyFont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0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13" fillId="0" borderId="15" xfId="0" applyFont="1" applyBorder="1"/>
    <xf numFmtId="0" fontId="14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3" fillId="0" borderId="20" xfId="0" applyFont="1" applyBorder="1"/>
    <xf numFmtId="0" fontId="10" fillId="0" borderId="13" xfId="0" applyFont="1" applyBorder="1"/>
    <xf numFmtId="0" fontId="0" fillId="0" borderId="21" xfId="0" applyBorder="1" applyAlignment="1">
      <alignment horizontal="center" vertical="center"/>
    </xf>
    <xf numFmtId="0" fontId="11" fillId="0" borderId="1" xfId="0" applyFont="1" applyBorder="1"/>
    <xf numFmtId="0" fontId="15" fillId="0" borderId="1" xfId="0" applyFont="1" applyBorder="1"/>
    <xf numFmtId="0" fontId="0" fillId="0" borderId="1" xfId="0" applyBorder="1"/>
    <xf numFmtId="0" fontId="16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7" fillId="0" borderId="0" xfId="0" applyFont="1"/>
    <xf numFmtId="0" fontId="0" fillId="0" borderId="3" xfId="0" applyBorder="1"/>
    <xf numFmtId="0" fontId="16" fillId="0" borderId="3" xfId="0" applyFont="1" applyBorder="1"/>
    <xf numFmtId="0" fontId="14" fillId="0" borderId="7" xfId="0" applyFont="1" applyBorder="1" applyAlignment="1">
      <alignment horizontal="center" vertical="center"/>
    </xf>
    <xf numFmtId="0" fontId="18" fillId="0" borderId="7" xfId="0" applyFont="1" applyBorder="1"/>
    <xf numFmtId="0" fontId="15" fillId="0" borderId="0" xfId="0" applyFont="1"/>
  </cellXfs>
  <cellStyles count="1">
    <cellStyle name="Normal" xfId="0" builtinId="0"/>
  </cellStyles>
  <dxfs count="8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2" defaultTableStyle="TableStyleMedium2" defaultPivotStyle="PivotStyleLight16">
    <tableStyle name="Estilo de tabla dinámica 1" table="0" count="1" xr9:uid="{FE874725-B3DB-4CC6-8844-A83371832CBC}">
      <tableStyleElement type="wholeTable" dxfId="83"/>
    </tableStyle>
    <tableStyle name="Estilo de tabla dinámica 2" table="0" count="1" xr9:uid="{817A6582-4704-41AF-A46E-81A9D2717E99}">
      <tableStyleElement type="pageFieldLabels" dxfId="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anie Molina" id="{C09A9976-EC84-47BB-9B3B-33DAF9821287}" userId="S::stephanie.molina@kfc.com.ec::0032648c-db9d-4deb-b41a-9b89d4b990c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05-21T17:32:28.59" personId="{C09A9976-EC84-47BB-9B3B-33DAF9821287}" id="{98FF022F-6EFE-4748-8B8C-1F51945A33B3}">
    <text xml:space="preserve">1. Alto
2. Medio
3. Bajo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4-05-21T17:32:28.59" personId="{C09A9976-EC84-47BB-9B3B-33DAF9821287}" id="{81941435-3804-475D-A4CE-05ECA13D0CB7}">
    <text xml:space="preserve">1. Alto
2. Medio
3. Bajo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5-21T17:32:28.59" personId="{C09A9976-EC84-47BB-9B3B-33DAF9821287}" id="{D7383695-9BDC-419B-B9DA-DB56BFA67EC6}">
    <text xml:space="preserve">1. Alto
2. Medio
3. Bajo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" dT="2024-05-21T17:32:28.59" personId="{C09A9976-EC84-47BB-9B3B-33DAF9821287}" id="{0B09ACD0-513A-4A15-A7C9-200F4F3AE9B0}">
    <text xml:space="preserve">1. Alto
2. Medio
3. Bajo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4-05-21T17:32:28.59" personId="{C09A9976-EC84-47BB-9B3B-33DAF9821287}" id="{A74EB8C7-E9B6-4097-9F1D-2B22060293F1}">
    <text xml:space="preserve">1. Alto
2. Medio
3. Bajo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soporte.kfc.com.ec/ASDKV8/Main/Pages/Cases.aspx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oporte.kfc.com.ec/ASDKV8/Main/Pages/Cases.aspx" TargetMode="External"/><Relationship Id="rId1" Type="http://schemas.openxmlformats.org/officeDocument/2006/relationships/hyperlink" Target="https://soporte.kfc.com.ec/ASDKV8/Main/Pages/Cases.aspx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oporte.kfc.com.ec/ASDKV8/Main/Pages/Case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2A95-8495-48EF-8281-9EA7F885C6C0}">
  <sheetPr codeName="Hoja1" filterMode="1"/>
  <dimension ref="A1:AK262"/>
  <sheetViews>
    <sheetView tabSelected="1" zoomScale="85" zoomScaleNormal="85" workbookViewId="0">
      <pane ySplit="1" topLeftCell="A159" activePane="bottomLeft" state="frozen"/>
      <selection pane="bottomLeft" activeCell="K184" sqref="K184:L184"/>
    </sheetView>
  </sheetViews>
  <sheetFormatPr baseColWidth="10" defaultColWidth="11.42578125" defaultRowHeight="15"/>
  <cols>
    <col min="1" max="1" width="9.140625" style="21" customWidth="1"/>
    <col min="2" max="2" width="9" style="21" bestFit="1" customWidth="1"/>
    <col min="3" max="3" width="3.5703125" style="21" customWidth="1"/>
    <col min="4" max="4" width="9.28515625" style="21" customWidth="1"/>
    <col min="5" max="5" width="18.7109375" style="21" customWidth="1"/>
    <col min="6" max="6" width="14.28515625" style="21" customWidth="1"/>
    <col min="7" max="7" width="10.28515625" style="21" customWidth="1"/>
    <col min="8" max="8" width="20.28515625" style="21" customWidth="1"/>
    <col min="9" max="9" width="39" style="34" customWidth="1"/>
    <col min="10" max="10" width="14.140625" style="33" customWidth="1"/>
    <col min="11" max="11" width="14.140625" style="21" customWidth="1"/>
    <col min="12" max="12" width="13.7109375" style="21" customWidth="1"/>
    <col min="13" max="13" width="15.42578125" style="22" hidden="1" customWidth="1"/>
    <col min="14" max="14" width="21.28515625" style="21" customWidth="1"/>
    <col min="15" max="15" width="15.7109375" style="94" customWidth="1"/>
    <col min="16" max="16" width="9.5703125" style="21" customWidth="1"/>
    <col min="17" max="17" width="41" style="21" customWidth="1"/>
    <col min="18" max="18" width="15.28515625" style="21" bestFit="1" customWidth="1"/>
    <col min="19" max="19" width="19.140625" style="34" bestFit="1" customWidth="1"/>
    <col min="20" max="20" width="61.140625" style="21" hidden="1" customWidth="1"/>
    <col min="21" max="21" width="12.42578125" style="21" customWidth="1"/>
    <col min="22" max="22" width="19.28515625" style="21" bestFit="1" customWidth="1"/>
    <col min="23" max="16384" width="11.42578125" style="21"/>
  </cols>
  <sheetData>
    <row r="1" spans="1:22" s="17" customFormat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1" t="s">
        <v>12</v>
      </c>
      <c r="N1" s="1" t="s">
        <v>13</v>
      </c>
      <c r="O1" s="9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3" t="s">
        <v>19</v>
      </c>
      <c r="U1" s="17" t="s">
        <v>20</v>
      </c>
      <c r="V1" s="17" t="s">
        <v>21</v>
      </c>
    </row>
    <row r="2" spans="1:22" ht="14.25" hidden="1" customHeight="1">
      <c r="A2" s="9">
        <v>1</v>
      </c>
      <c r="B2" s="9">
        <v>2024</v>
      </c>
      <c r="C2" s="9"/>
      <c r="D2" s="9"/>
      <c r="E2" s="9"/>
      <c r="F2" s="9">
        <v>1</v>
      </c>
      <c r="G2" s="9" t="s">
        <v>22</v>
      </c>
      <c r="H2" s="9" t="s">
        <v>22</v>
      </c>
      <c r="I2" s="18" t="s">
        <v>23</v>
      </c>
      <c r="J2" s="19" t="s">
        <v>24</v>
      </c>
      <c r="K2" s="19"/>
      <c r="L2" s="9">
        <v>1</v>
      </c>
      <c r="M2" s="20">
        <v>45369</v>
      </c>
      <c r="N2" s="9" t="s">
        <v>25</v>
      </c>
      <c r="O2" s="10">
        <v>1929</v>
      </c>
      <c r="P2" s="19">
        <v>771550</v>
      </c>
      <c r="Q2" s="19"/>
      <c r="R2" s="9"/>
      <c r="S2" s="12"/>
      <c r="T2" s="9"/>
    </row>
    <row r="3" spans="1:22" ht="14.25" hidden="1" customHeight="1">
      <c r="A3" s="5">
        <v>2</v>
      </c>
      <c r="B3" s="5">
        <v>2024</v>
      </c>
      <c r="C3" s="5"/>
      <c r="D3" s="5">
        <v>1</v>
      </c>
      <c r="E3" s="5"/>
      <c r="F3" s="5">
        <v>1</v>
      </c>
      <c r="G3" s="5" t="s">
        <v>26</v>
      </c>
      <c r="H3" s="5" t="s">
        <v>26</v>
      </c>
      <c r="I3" s="11" t="s">
        <v>27</v>
      </c>
      <c r="J3" s="22" t="s">
        <v>24</v>
      </c>
      <c r="K3" s="19"/>
      <c r="L3" s="9">
        <v>1</v>
      </c>
      <c r="N3" s="9" t="s">
        <v>25</v>
      </c>
      <c r="O3" s="7">
        <v>2006</v>
      </c>
      <c r="P3" s="22"/>
      <c r="Q3" s="22"/>
      <c r="R3" s="5"/>
      <c r="S3" s="11"/>
      <c r="T3" s="5"/>
    </row>
    <row r="4" spans="1:22" ht="14.25" hidden="1" customHeight="1">
      <c r="A4" s="9">
        <v>3</v>
      </c>
      <c r="B4" s="5">
        <v>2024</v>
      </c>
      <c r="C4" s="5"/>
      <c r="D4" s="5">
        <v>3</v>
      </c>
      <c r="E4" s="5"/>
      <c r="F4" s="9">
        <v>1</v>
      </c>
      <c r="G4" s="5" t="s">
        <v>26</v>
      </c>
      <c r="H4" s="5" t="s">
        <v>26</v>
      </c>
      <c r="I4" s="11" t="s">
        <v>28</v>
      </c>
      <c r="J4" s="22" t="s">
        <v>24</v>
      </c>
      <c r="K4" s="19"/>
      <c r="L4" s="9">
        <v>1</v>
      </c>
      <c r="N4" s="9" t="s">
        <v>25</v>
      </c>
      <c r="O4" s="7"/>
      <c r="P4" s="22">
        <v>772520</v>
      </c>
      <c r="Q4" s="22"/>
      <c r="R4" s="5"/>
      <c r="S4" s="11"/>
      <c r="T4" s="5"/>
    </row>
    <row r="5" spans="1:22" ht="14.25" hidden="1" customHeight="1">
      <c r="A5" s="9">
        <v>4</v>
      </c>
      <c r="B5" s="5">
        <v>2024</v>
      </c>
      <c r="C5" s="5"/>
      <c r="D5" s="5"/>
      <c r="E5" s="5"/>
      <c r="F5" s="5">
        <v>1</v>
      </c>
      <c r="G5" s="5" t="s">
        <v>29</v>
      </c>
      <c r="H5" s="5" t="s">
        <v>29</v>
      </c>
      <c r="I5" s="11" t="s">
        <v>30</v>
      </c>
      <c r="J5" s="22" t="s">
        <v>24</v>
      </c>
      <c r="K5" s="19"/>
      <c r="L5" s="9">
        <v>1</v>
      </c>
      <c r="N5" s="9" t="s">
        <v>25</v>
      </c>
      <c r="O5" s="7"/>
      <c r="P5" s="22">
        <v>770227</v>
      </c>
      <c r="Q5" s="22"/>
      <c r="R5" s="5"/>
      <c r="S5" s="11"/>
      <c r="T5" s="5"/>
    </row>
    <row r="6" spans="1:22" ht="14.25" hidden="1" customHeight="1">
      <c r="A6" s="5">
        <v>5</v>
      </c>
      <c r="B6" s="5">
        <v>2024</v>
      </c>
      <c r="C6" s="5"/>
      <c r="D6" s="5"/>
      <c r="E6" s="5"/>
      <c r="F6" s="9">
        <v>1</v>
      </c>
      <c r="G6" s="5" t="s">
        <v>22</v>
      </c>
      <c r="H6" s="5" t="s">
        <v>22</v>
      </c>
      <c r="I6" s="11" t="s">
        <v>31</v>
      </c>
      <c r="J6" s="22" t="s">
        <v>24</v>
      </c>
      <c r="K6" s="19"/>
      <c r="L6" s="9">
        <v>1</v>
      </c>
      <c r="N6" s="9" t="s">
        <v>25</v>
      </c>
      <c r="O6" s="7"/>
      <c r="P6" s="22">
        <v>771547</v>
      </c>
      <c r="Q6" s="22"/>
      <c r="R6" s="5"/>
      <c r="S6" s="11"/>
      <c r="T6" s="5"/>
    </row>
    <row r="7" spans="1:22" ht="14.25" hidden="1" customHeight="1">
      <c r="A7" s="9">
        <v>6</v>
      </c>
      <c r="B7" s="5">
        <v>2024</v>
      </c>
      <c r="C7" s="5"/>
      <c r="D7" s="5"/>
      <c r="E7" s="5"/>
      <c r="F7" s="5">
        <v>1</v>
      </c>
      <c r="G7" s="5" t="s">
        <v>32</v>
      </c>
      <c r="H7" s="5" t="s">
        <v>32</v>
      </c>
      <c r="I7" s="11" t="s">
        <v>33</v>
      </c>
      <c r="J7" s="22" t="s">
        <v>24</v>
      </c>
      <c r="K7" s="19"/>
      <c r="L7" s="9">
        <v>1</v>
      </c>
      <c r="N7" s="9" t="s">
        <v>25</v>
      </c>
      <c r="O7" s="7"/>
      <c r="P7" s="22"/>
      <c r="Q7" s="22"/>
      <c r="R7" s="5"/>
      <c r="S7" s="11"/>
      <c r="T7" s="5"/>
    </row>
    <row r="8" spans="1:22" ht="14.25" hidden="1" customHeight="1">
      <c r="A8" s="9">
        <v>7</v>
      </c>
      <c r="B8" s="5">
        <v>2024</v>
      </c>
      <c r="C8" s="5"/>
      <c r="D8" s="5">
        <v>2</v>
      </c>
      <c r="E8" s="5"/>
      <c r="F8" s="9">
        <v>1</v>
      </c>
      <c r="G8" s="5" t="s">
        <v>32</v>
      </c>
      <c r="H8" s="5" t="s">
        <v>32</v>
      </c>
      <c r="I8" s="11" t="s">
        <v>34</v>
      </c>
      <c r="J8" s="22" t="s">
        <v>24</v>
      </c>
      <c r="K8" s="19"/>
      <c r="L8" s="9">
        <v>6</v>
      </c>
      <c r="M8" s="23">
        <v>45362</v>
      </c>
      <c r="N8" s="9" t="s">
        <v>25</v>
      </c>
      <c r="O8" s="7">
        <v>1930</v>
      </c>
      <c r="P8" s="22">
        <v>774013</v>
      </c>
      <c r="Q8" s="22"/>
      <c r="R8" s="5">
        <v>8</v>
      </c>
      <c r="S8" s="11" t="s">
        <v>35</v>
      </c>
      <c r="T8" s="5"/>
    </row>
    <row r="9" spans="1:22" ht="14.25" hidden="1" customHeight="1">
      <c r="A9" s="5">
        <v>8</v>
      </c>
      <c r="B9" s="5">
        <v>2024</v>
      </c>
      <c r="C9" s="5"/>
      <c r="D9" s="5"/>
      <c r="E9" s="5"/>
      <c r="F9" s="5">
        <v>1</v>
      </c>
      <c r="G9" s="5" t="s">
        <v>22</v>
      </c>
      <c r="H9" s="5" t="s">
        <v>22</v>
      </c>
      <c r="I9" s="11" t="s">
        <v>36</v>
      </c>
      <c r="J9" s="22" t="s">
        <v>24</v>
      </c>
      <c r="K9" s="19"/>
      <c r="L9" s="9">
        <v>1</v>
      </c>
      <c r="N9" s="9" t="s">
        <v>25</v>
      </c>
      <c r="O9" s="7"/>
      <c r="P9" s="22"/>
      <c r="Q9" s="22"/>
      <c r="R9" s="5"/>
      <c r="S9" s="11"/>
      <c r="T9" s="5"/>
    </row>
    <row r="10" spans="1:22" ht="14.25" hidden="1" customHeight="1">
      <c r="A10" s="9">
        <v>9</v>
      </c>
      <c r="B10" s="5">
        <v>2024</v>
      </c>
      <c r="C10" s="5"/>
      <c r="D10" s="5"/>
      <c r="E10" s="5"/>
      <c r="F10" s="9">
        <v>1</v>
      </c>
      <c r="G10" s="5" t="s">
        <v>37</v>
      </c>
      <c r="H10" s="5" t="s">
        <v>37</v>
      </c>
      <c r="I10" s="11" t="s">
        <v>38</v>
      </c>
      <c r="J10" s="22" t="s">
        <v>24</v>
      </c>
      <c r="K10" s="19"/>
      <c r="L10" s="9">
        <v>1</v>
      </c>
      <c r="M10" s="24">
        <v>45341</v>
      </c>
      <c r="N10" s="9" t="s">
        <v>25</v>
      </c>
      <c r="O10" s="7"/>
      <c r="P10" s="22">
        <v>772518</v>
      </c>
      <c r="Q10" s="22"/>
      <c r="R10" s="5"/>
      <c r="S10" s="11"/>
      <c r="T10" s="5"/>
    </row>
    <row r="11" spans="1:22" ht="13.5" hidden="1" customHeight="1">
      <c r="A11" s="9">
        <v>10</v>
      </c>
      <c r="B11" s="5">
        <v>2024</v>
      </c>
      <c r="C11" s="5"/>
      <c r="D11" s="5"/>
      <c r="E11" s="5"/>
      <c r="F11" s="5">
        <v>1</v>
      </c>
      <c r="G11" s="5" t="s">
        <v>32</v>
      </c>
      <c r="H11" s="5" t="s">
        <v>32</v>
      </c>
      <c r="I11" s="11" t="s">
        <v>39</v>
      </c>
      <c r="J11" s="22" t="s">
        <v>40</v>
      </c>
      <c r="K11" s="19"/>
      <c r="L11" s="9">
        <v>1</v>
      </c>
      <c r="N11" s="9" t="s">
        <v>25</v>
      </c>
      <c r="O11" s="7"/>
      <c r="P11" s="22">
        <v>771168</v>
      </c>
      <c r="Q11" s="22"/>
      <c r="R11" s="5"/>
      <c r="S11" s="11"/>
      <c r="T11" s="5"/>
    </row>
    <row r="12" spans="1:22" ht="30" hidden="1">
      <c r="A12" s="5">
        <v>11</v>
      </c>
      <c r="B12" s="5">
        <v>2024</v>
      </c>
      <c r="C12" s="5"/>
      <c r="D12" s="5"/>
      <c r="E12" s="5"/>
      <c r="F12" s="9">
        <v>1</v>
      </c>
      <c r="G12" s="5" t="s">
        <v>41</v>
      </c>
      <c r="H12" s="5" t="s">
        <v>42</v>
      </c>
      <c r="I12" s="11" t="s">
        <v>43</v>
      </c>
      <c r="J12" s="22" t="s">
        <v>24</v>
      </c>
      <c r="K12" s="19"/>
      <c r="L12" s="9">
        <v>1</v>
      </c>
      <c r="M12" s="24">
        <v>45366</v>
      </c>
      <c r="N12" s="9" t="s">
        <v>25</v>
      </c>
      <c r="O12" s="7"/>
      <c r="P12" s="22">
        <v>772673</v>
      </c>
      <c r="Q12" s="22"/>
      <c r="R12" s="5"/>
      <c r="S12" s="11"/>
      <c r="T12" s="5"/>
    </row>
    <row r="13" spans="1:22" hidden="1">
      <c r="A13" s="9">
        <v>12</v>
      </c>
      <c r="B13" s="5">
        <v>2024</v>
      </c>
      <c r="C13" s="5"/>
      <c r="D13" s="5"/>
      <c r="E13" s="5"/>
      <c r="F13" s="5">
        <v>1</v>
      </c>
      <c r="G13" s="5" t="s">
        <v>44</v>
      </c>
      <c r="H13" s="5" t="s">
        <v>44</v>
      </c>
      <c r="I13" s="25" t="s">
        <v>45</v>
      </c>
      <c r="J13" s="22" t="s">
        <v>24</v>
      </c>
      <c r="K13" s="19"/>
      <c r="L13" s="9">
        <v>1</v>
      </c>
      <c r="M13" s="24">
        <v>45369</v>
      </c>
      <c r="N13" s="9" t="s">
        <v>25</v>
      </c>
      <c r="O13" s="7">
        <v>1931</v>
      </c>
      <c r="P13" s="22">
        <v>773063</v>
      </c>
      <c r="Q13" s="22"/>
      <c r="R13" s="5"/>
      <c r="S13" s="11"/>
      <c r="T13" s="5"/>
    </row>
    <row r="14" spans="1:22" ht="30" hidden="1">
      <c r="A14" s="9">
        <v>13</v>
      </c>
      <c r="B14" s="5">
        <v>2024</v>
      </c>
      <c r="C14" s="5"/>
      <c r="D14" s="5"/>
      <c r="E14" s="5"/>
      <c r="F14" s="9">
        <v>1</v>
      </c>
      <c r="G14" s="5" t="s">
        <v>37</v>
      </c>
      <c r="H14" s="5" t="s">
        <v>37</v>
      </c>
      <c r="I14" s="11" t="s">
        <v>46</v>
      </c>
      <c r="J14" s="22" t="s">
        <v>24</v>
      </c>
      <c r="K14" s="19"/>
      <c r="L14" s="9">
        <v>1</v>
      </c>
      <c r="M14" s="23">
        <v>45323</v>
      </c>
      <c r="N14" s="9" t="s">
        <v>25</v>
      </c>
      <c r="O14" s="7"/>
      <c r="P14" s="22"/>
      <c r="Q14" s="22"/>
      <c r="R14" s="5"/>
      <c r="S14" s="11"/>
      <c r="T14" s="5"/>
    </row>
    <row r="15" spans="1:22" hidden="1">
      <c r="A15" s="5">
        <v>14</v>
      </c>
      <c r="B15" s="5">
        <v>2024</v>
      </c>
      <c r="C15" s="5"/>
      <c r="D15" s="5"/>
      <c r="E15" s="5"/>
      <c r="F15" s="5">
        <v>1</v>
      </c>
      <c r="G15" s="5" t="s">
        <v>37</v>
      </c>
      <c r="H15" s="5" t="s">
        <v>37</v>
      </c>
      <c r="I15" s="11" t="s">
        <v>47</v>
      </c>
      <c r="J15" s="22" t="s">
        <v>24</v>
      </c>
      <c r="K15" s="19"/>
      <c r="L15" s="9">
        <v>1</v>
      </c>
      <c r="M15" s="23">
        <v>45374</v>
      </c>
      <c r="N15" s="9" t="s">
        <v>25</v>
      </c>
      <c r="O15" s="8">
        <v>4945</v>
      </c>
      <c r="P15" s="22">
        <v>773604</v>
      </c>
      <c r="Q15" s="22"/>
      <c r="R15" s="5"/>
      <c r="S15" s="11"/>
      <c r="T15" s="5"/>
    </row>
    <row r="16" spans="1:22" ht="30" hidden="1">
      <c r="A16" s="9">
        <v>15</v>
      </c>
      <c r="B16" s="5">
        <v>2024</v>
      </c>
      <c r="C16" s="5"/>
      <c r="D16" s="5"/>
      <c r="E16" s="5"/>
      <c r="F16" s="9">
        <v>1</v>
      </c>
      <c r="G16" s="5" t="s">
        <v>32</v>
      </c>
      <c r="H16" s="5" t="s">
        <v>32</v>
      </c>
      <c r="I16" s="11" t="s">
        <v>48</v>
      </c>
      <c r="J16" s="22" t="s">
        <v>40</v>
      </c>
      <c r="K16" s="19"/>
      <c r="L16" s="9">
        <v>1</v>
      </c>
      <c r="M16" s="23">
        <v>45377</v>
      </c>
      <c r="N16" s="9" t="s">
        <v>25</v>
      </c>
      <c r="O16" s="7"/>
      <c r="P16" s="22">
        <v>406637</v>
      </c>
      <c r="Q16" s="22"/>
      <c r="R16" s="5"/>
      <c r="S16" s="11"/>
      <c r="T16" s="5"/>
    </row>
    <row r="17" spans="1:20" hidden="1">
      <c r="A17" s="9">
        <v>16</v>
      </c>
      <c r="B17" s="5">
        <v>2024</v>
      </c>
      <c r="C17" s="5"/>
      <c r="D17" s="5">
        <v>3</v>
      </c>
      <c r="E17" s="5"/>
      <c r="F17" s="5">
        <v>1</v>
      </c>
      <c r="G17" s="5" t="s">
        <v>37</v>
      </c>
      <c r="H17" s="5" t="s">
        <v>37</v>
      </c>
      <c r="I17" s="11" t="s">
        <v>49</v>
      </c>
      <c r="J17" s="26" t="s">
        <v>50</v>
      </c>
      <c r="K17" s="80"/>
      <c r="L17" s="9">
        <v>1</v>
      </c>
      <c r="M17" s="27">
        <v>45321</v>
      </c>
      <c r="N17" s="9" t="s">
        <v>25</v>
      </c>
      <c r="O17" s="7"/>
      <c r="P17" s="22"/>
      <c r="Q17" s="22"/>
      <c r="R17" s="5"/>
      <c r="S17" s="11"/>
      <c r="T17" s="5"/>
    </row>
    <row r="18" spans="1:20" ht="30" hidden="1">
      <c r="A18" s="5">
        <v>17</v>
      </c>
      <c r="B18" s="5">
        <v>2024</v>
      </c>
      <c r="C18" s="5"/>
      <c r="D18" s="5"/>
      <c r="E18" s="5"/>
      <c r="F18" s="9">
        <v>1</v>
      </c>
      <c r="G18" s="5" t="s">
        <v>37</v>
      </c>
      <c r="H18" s="5" t="s">
        <v>37</v>
      </c>
      <c r="I18" s="11" t="s">
        <v>51</v>
      </c>
      <c r="J18" s="28" t="s">
        <v>24</v>
      </c>
      <c r="L18" s="9">
        <v>1</v>
      </c>
      <c r="M18" s="29">
        <v>45386</v>
      </c>
      <c r="N18" s="9" t="s">
        <v>25</v>
      </c>
      <c r="O18" s="7"/>
      <c r="P18" s="22"/>
      <c r="Q18" s="22"/>
      <c r="R18" s="5"/>
      <c r="S18" s="11"/>
      <c r="T18" s="5"/>
    </row>
    <row r="19" spans="1:20" hidden="1">
      <c r="A19" s="9">
        <v>18</v>
      </c>
      <c r="B19" s="5">
        <v>2024</v>
      </c>
      <c r="C19" s="5"/>
      <c r="D19" s="5"/>
      <c r="E19" s="5"/>
      <c r="F19" s="5">
        <v>1</v>
      </c>
      <c r="G19" s="5" t="s">
        <v>32</v>
      </c>
      <c r="H19" s="5" t="s">
        <v>32</v>
      </c>
      <c r="I19" s="11" t="s">
        <v>52</v>
      </c>
      <c r="J19" s="22" t="s">
        <v>40</v>
      </c>
      <c r="K19" s="19"/>
      <c r="L19" s="9">
        <v>1</v>
      </c>
      <c r="M19" s="23">
        <v>45384</v>
      </c>
      <c r="N19" s="9" t="s">
        <v>25</v>
      </c>
      <c r="O19" s="5"/>
      <c r="P19" s="22">
        <v>775088</v>
      </c>
      <c r="Q19" s="22"/>
      <c r="R19" s="5"/>
      <c r="S19" s="11"/>
      <c r="T19" s="5"/>
    </row>
    <row r="20" spans="1:20" hidden="1">
      <c r="A20" s="9">
        <v>19</v>
      </c>
      <c r="B20" s="5">
        <v>2024</v>
      </c>
      <c r="C20" s="5"/>
      <c r="D20" s="5"/>
      <c r="E20" s="5"/>
      <c r="F20" s="9">
        <v>1</v>
      </c>
      <c r="G20" s="5" t="s">
        <v>32</v>
      </c>
      <c r="H20" s="5" t="s">
        <v>32</v>
      </c>
      <c r="I20" s="11" t="s">
        <v>53</v>
      </c>
      <c r="J20" s="22" t="s">
        <v>40</v>
      </c>
      <c r="K20" s="19"/>
      <c r="L20" s="9">
        <v>1</v>
      </c>
      <c r="M20" s="23">
        <v>45394</v>
      </c>
      <c r="N20" s="9" t="s">
        <v>25</v>
      </c>
      <c r="O20" s="5">
        <v>4043</v>
      </c>
      <c r="P20" s="22">
        <v>776359</v>
      </c>
      <c r="Q20" s="22"/>
      <c r="R20" s="5"/>
      <c r="S20" s="11"/>
      <c r="T20" s="5"/>
    </row>
    <row r="21" spans="1:20" ht="30" hidden="1">
      <c r="A21" s="5">
        <v>20</v>
      </c>
      <c r="B21" s="5">
        <v>2024</v>
      </c>
      <c r="C21" s="5"/>
      <c r="D21" s="5"/>
      <c r="E21" s="5"/>
      <c r="F21" s="5">
        <v>1</v>
      </c>
      <c r="G21" s="5" t="s">
        <v>41</v>
      </c>
      <c r="H21" s="5" t="s">
        <v>54</v>
      </c>
      <c r="I21" s="11" t="s">
        <v>55</v>
      </c>
      <c r="J21" s="22" t="s">
        <v>24</v>
      </c>
      <c r="K21" s="19"/>
      <c r="L21" s="9">
        <v>1</v>
      </c>
      <c r="M21" s="23">
        <v>45394</v>
      </c>
      <c r="N21" s="9" t="s">
        <v>25</v>
      </c>
      <c r="O21" s="5">
        <v>4174</v>
      </c>
      <c r="P21" s="22">
        <v>776324</v>
      </c>
      <c r="Q21" s="22"/>
      <c r="R21" s="5"/>
      <c r="S21" s="11"/>
      <c r="T21" s="5" t="s">
        <v>56</v>
      </c>
    </row>
    <row r="22" spans="1:20" hidden="1">
      <c r="A22" s="9">
        <v>21</v>
      </c>
      <c r="B22" s="5">
        <v>2024</v>
      </c>
      <c r="C22" s="5" t="s">
        <v>57</v>
      </c>
      <c r="D22" s="5"/>
      <c r="E22" s="5"/>
      <c r="F22" s="9">
        <v>1</v>
      </c>
      <c r="G22" s="5" t="s">
        <v>32</v>
      </c>
      <c r="H22" s="5" t="s">
        <v>32</v>
      </c>
      <c r="I22" s="11" t="s">
        <v>58</v>
      </c>
      <c r="J22" s="22" t="s">
        <v>24</v>
      </c>
      <c r="K22" s="19"/>
      <c r="L22" s="9">
        <v>1</v>
      </c>
      <c r="M22" s="23">
        <v>45394</v>
      </c>
      <c r="N22" s="9" t="s">
        <v>25</v>
      </c>
      <c r="O22" s="5">
        <v>4176</v>
      </c>
      <c r="P22" s="22">
        <v>776385</v>
      </c>
      <c r="Q22" s="22"/>
      <c r="R22" s="5"/>
      <c r="S22" s="11"/>
      <c r="T22" s="5"/>
    </row>
    <row r="23" spans="1:20" ht="30" hidden="1">
      <c r="A23" s="9">
        <v>22</v>
      </c>
      <c r="B23" s="5">
        <v>2024</v>
      </c>
      <c r="C23" s="5" t="s">
        <v>59</v>
      </c>
      <c r="D23" s="5">
        <v>1</v>
      </c>
      <c r="E23" s="5"/>
      <c r="F23" s="5">
        <v>1</v>
      </c>
      <c r="G23" s="5" t="s">
        <v>32</v>
      </c>
      <c r="H23" s="5" t="s">
        <v>32</v>
      </c>
      <c r="I23" s="11" t="s">
        <v>60</v>
      </c>
      <c r="J23" s="22" t="s">
        <v>40</v>
      </c>
      <c r="K23" s="19"/>
      <c r="L23" s="9">
        <v>1</v>
      </c>
      <c r="M23" s="23">
        <v>45393</v>
      </c>
      <c r="N23" s="9" t="s">
        <v>25</v>
      </c>
      <c r="O23" s="5">
        <v>4248</v>
      </c>
      <c r="P23" s="22">
        <v>776300</v>
      </c>
      <c r="Q23" s="22"/>
      <c r="R23" s="5"/>
      <c r="S23" s="11"/>
      <c r="T23" s="5"/>
    </row>
    <row r="24" spans="1:20" hidden="1">
      <c r="A24" s="5">
        <v>23</v>
      </c>
      <c r="B24" s="5">
        <v>2024</v>
      </c>
      <c r="C24" s="5"/>
      <c r="D24" s="5">
        <v>1</v>
      </c>
      <c r="E24" s="5"/>
      <c r="F24" s="9">
        <v>1</v>
      </c>
      <c r="G24" s="5" t="s">
        <v>32</v>
      </c>
      <c r="H24" s="5" t="s">
        <v>32</v>
      </c>
      <c r="I24" s="11" t="s">
        <v>61</v>
      </c>
      <c r="J24" s="22" t="s">
        <v>40</v>
      </c>
      <c r="K24" s="19"/>
      <c r="L24" s="9">
        <v>1</v>
      </c>
      <c r="M24" s="23">
        <v>45393</v>
      </c>
      <c r="N24" s="9" t="s">
        <v>25</v>
      </c>
      <c r="O24" s="5">
        <v>4255</v>
      </c>
      <c r="P24" s="22">
        <v>776295</v>
      </c>
      <c r="Q24" s="22"/>
      <c r="R24" s="5"/>
      <c r="S24" s="11"/>
      <c r="T24" s="5"/>
    </row>
    <row r="25" spans="1:20" ht="30" hidden="1">
      <c r="A25" s="9">
        <v>24</v>
      </c>
      <c r="B25" s="5">
        <v>2024</v>
      </c>
      <c r="C25" s="5"/>
      <c r="D25" s="5"/>
      <c r="E25" s="5"/>
      <c r="F25" s="5">
        <v>1</v>
      </c>
      <c r="G25" s="5" t="s">
        <v>62</v>
      </c>
      <c r="H25" s="5" t="s">
        <v>62</v>
      </c>
      <c r="I25" s="11" t="s">
        <v>63</v>
      </c>
      <c r="J25" s="22" t="s">
        <v>24</v>
      </c>
      <c r="K25" s="19"/>
      <c r="L25" s="9">
        <v>1</v>
      </c>
      <c r="M25" s="23">
        <v>45398</v>
      </c>
      <c r="N25" s="9" t="s">
        <v>25</v>
      </c>
      <c r="O25" s="5">
        <v>4498</v>
      </c>
      <c r="P25" s="22">
        <v>776976</v>
      </c>
      <c r="Q25" s="22"/>
      <c r="R25" s="5"/>
      <c r="S25" s="11"/>
      <c r="T25" s="5"/>
    </row>
    <row r="26" spans="1:20" hidden="1">
      <c r="A26" s="9">
        <v>25</v>
      </c>
      <c r="B26" s="5">
        <v>2024</v>
      </c>
      <c r="C26" s="5"/>
      <c r="D26" s="5"/>
      <c r="E26" s="5"/>
      <c r="F26" s="9">
        <v>1</v>
      </c>
      <c r="G26" s="5" t="s">
        <v>62</v>
      </c>
      <c r="H26" s="5" t="s">
        <v>62</v>
      </c>
      <c r="I26" s="11" t="s">
        <v>64</v>
      </c>
      <c r="J26" s="22" t="s">
        <v>40</v>
      </c>
      <c r="K26" s="19"/>
      <c r="L26" s="9">
        <v>1</v>
      </c>
      <c r="M26" s="23">
        <v>45404</v>
      </c>
      <c r="N26" s="9" t="s">
        <v>25</v>
      </c>
      <c r="O26" s="5">
        <v>4922</v>
      </c>
      <c r="P26" s="22">
        <v>777508</v>
      </c>
      <c r="Q26" s="22"/>
      <c r="R26" s="5"/>
      <c r="S26" s="11"/>
      <c r="T26" s="5"/>
    </row>
    <row r="27" spans="1:20" hidden="1">
      <c r="A27" s="5">
        <v>26</v>
      </c>
      <c r="B27" s="5">
        <v>2024</v>
      </c>
      <c r="C27" s="5"/>
      <c r="D27" s="5">
        <v>2</v>
      </c>
      <c r="E27" s="5"/>
      <c r="F27" s="5">
        <v>2</v>
      </c>
      <c r="G27" s="5" t="s">
        <v>32</v>
      </c>
      <c r="H27" s="5" t="s">
        <v>32</v>
      </c>
      <c r="I27" s="11" t="s">
        <v>65</v>
      </c>
      <c r="J27" s="22" t="s">
        <v>40</v>
      </c>
      <c r="K27" s="19"/>
      <c r="L27" s="9">
        <v>2</v>
      </c>
      <c r="M27" s="23">
        <v>45393</v>
      </c>
      <c r="N27" s="9" t="s">
        <v>25</v>
      </c>
      <c r="O27" s="5">
        <v>5815</v>
      </c>
      <c r="P27" s="22">
        <v>776279</v>
      </c>
      <c r="Q27" s="22"/>
      <c r="R27" s="5"/>
      <c r="S27" s="11"/>
      <c r="T27" s="5" t="s">
        <v>66</v>
      </c>
    </row>
    <row r="28" spans="1:20" hidden="1">
      <c r="A28" s="9">
        <v>27</v>
      </c>
      <c r="B28" s="5">
        <v>2024</v>
      </c>
      <c r="C28" s="5" t="s">
        <v>67</v>
      </c>
      <c r="D28" s="5">
        <v>1</v>
      </c>
      <c r="E28" s="5"/>
      <c r="F28" s="5">
        <v>2</v>
      </c>
      <c r="G28" s="5" t="s">
        <v>62</v>
      </c>
      <c r="H28" s="5" t="s">
        <v>62</v>
      </c>
      <c r="I28" s="11" t="s">
        <v>68</v>
      </c>
      <c r="J28" s="22" t="s">
        <v>40</v>
      </c>
      <c r="K28" s="19"/>
      <c r="L28" s="9">
        <v>2</v>
      </c>
      <c r="M28" s="23">
        <v>45411</v>
      </c>
      <c r="N28" s="9" t="s">
        <v>25</v>
      </c>
      <c r="O28" s="5">
        <v>5811</v>
      </c>
      <c r="P28" s="22">
        <v>778712</v>
      </c>
      <c r="Q28" s="22"/>
      <c r="R28" s="5"/>
      <c r="S28" s="11"/>
      <c r="T28" s="5" t="s">
        <v>66</v>
      </c>
    </row>
    <row r="29" spans="1:20" hidden="1">
      <c r="A29" s="9">
        <v>28</v>
      </c>
      <c r="B29" s="5">
        <v>2024</v>
      </c>
      <c r="C29" s="5"/>
      <c r="D29" s="5">
        <v>2</v>
      </c>
      <c r="E29" s="5"/>
      <c r="F29" s="5">
        <v>2</v>
      </c>
      <c r="G29" s="5" t="s">
        <v>29</v>
      </c>
      <c r="H29" s="5" t="s">
        <v>29</v>
      </c>
      <c r="I29" s="11" t="s">
        <v>69</v>
      </c>
      <c r="J29" s="22" t="s">
        <v>24</v>
      </c>
      <c r="K29" s="19"/>
      <c r="L29" s="9">
        <v>2</v>
      </c>
      <c r="M29" s="23">
        <v>45418</v>
      </c>
      <c r="N29" s="9" t="s">
        <v>25</v>
      </c>
      <c r="O29" s="5">
        <v>6589</v>
      </c>
      <c r="P29" s="22">
        <v>779806</v>
      </c>
      <c r="Q29" s="22"/>
      <c r="R29" s="5"/>
      <c r="S29" s="11"/>
      <c r="T29" s="5" t="s">
        <v>70</v>
      </c>
    </row>
    <row r="30" spans="1:20" ht="30" hidden="1">
      <c r="A30" s="5">
        <v>29</v>
      </c>
      <c r="B30" s="5">
        <v>2024</v>
      </c>
      <c r="C30" s="5" t="s">
        <v>71</v>
      </c>
      <c r="D30" s="5">
        <v>2</v>
      </c>
      <c r="E30" s="5"/>
      <c r="F30" s="5">
        <v>2</v>
      </c>
      <c r="G30" s="5" t="s">
        <v>32</v>
      </c>
      <c r="H30" s="5" t="s">
        <v>32</v>
      </c>
      <c r="I30" s="11" t="s">
        <v>72</v>
      </c>
      <c r="J30" s="19" t="s">
        <v>40</v>
      </c>
      <c r="K30" s="19"/>
      <c r="L30" s="9">
        <v>2</v>
      </c>
      <c r="M30" s="30">
        <v>45419</v>
      </c>
      <c r="N30" s="9" t="s">
        <v>25</v>
      </c>
      <c r="O30" s="5">
        <v>7617</v>
      </c>
      <c r="P30" s="19">
        <v>779316</v>
      </c>
      <c r="Q30" s="19"/>
      <c r="R30" s="5"/>
      <c r="S30" s="11"/>
      <c r="T30" s="9" t="s">
        <v>73</v>
      </c>
    </row>
    <row r="31" spans="1:20" ht="30" hidden="1">
      <c r="A31" s="9">
        <v>30</v>
      </c>
      <c r="B31" s="5">
        <v>2024</v>
      </c>
      <c r="C31" s="5"/>
      <c r="D31" s="5">
        <v>1</v>
      </c>
      <c r="E31" s="5"/>
      <c r="F31" s="5">
        <v>2</v>
      </c>
      <c r="G31" s="5" t="s">
        <v>62</v>
      </c>
      <c r="H31" s="5" t="s">
        <v>62</v>
      </c>
      <c r="I31" s="11" t="s">
        <v>74</v>
      </c>
      <c r="J31" s="22" t="s">
        <v>40</v>
      </c>
      <c r="K31" s="19"/>
      <c r="L31" s="9">
        <v>2</v>
      </c>
      <c r="M31" s="23">
        <v>45419</v>
      </c>
      <c r="N31" s="9" t="s">
        <v>25</v>
      </c>
      <c r="O31" s="5">
        <v>6648</v>
      </c>
      <c r="P31" s="22">
        <v>779316</v>
      </c>
      <c r="Q31" s="22"/>
      <c r="R31" s="5"/>
      <c r="S31" s="11"/>
      <c r="T31" s="5"/>
    </row>
    <row r="32" spans="1:20" ht="30" hidden="1">
      <c r="A32" s="9">
        <v>31</v>
      </c>
      <c r="B32" s="5">
        <v>2024</v>
      </c>
      <c r="C32" s="5" t="s">
        <v>75</v>
      </c>
      <c r="D32" s="5">
        <v>2</v>
      </c>
      <c r="E32" s="5"/>
      <c r="F32" s="5">
        <v>2</v>
      </c>
      <c r="G32" s="5" t="s">
        <v>32</v>
      </c>
      <c r="H32" s="5" t="s">
        <v>32</v>
      </c>
      <c r="I32" s="11" t="s">
        <v>76</v>
      </c>
      <c r="J32" s="22" t="s">
        <v>40</v>
      </c>
      <c r="K32" s="19"/>
      <c r="L32" s="9">
        <v>2</v>
      </c>
      <c r="M32" s="23">
        <v>45419</v>
      </c>
      <c r="N32" s="9" t="s">
        <v>25</v>
      </c>
      <c r="O32" s="5">
        <v>7617</v>
      </c>
      <c r="P32" s="22">
        <v>779316</v>
      </c>
      <c r="Q32" s="22"/>
      <c r="R32" s="5"/>
      <c r="S32" s="11"/>
      <c r="T32" s="5" t="s">
        <v>77</v>
      </c>
    </row>
    <row r="33" spans="1:20" hidden="1">
      <c r="A33" s="5">
        <v>32</v>
      </c>
      <c r="B33" s="5">
        <v>2024</v>
      </c>
      <c r="C33" s="5"/>
      <c r="D33" s="5">
        <v>1</v>
      </c>
      <c r="E33" s="5"/>
      <c r="F33" s="5">
        <v>2</v>
      </c>
      <c r="G33" s="5" t="s">
        <v>37</v>
      </c>
      <c r="H33" s="5" t="s">
        <v>37</v>
      </c>
      <c r="I33" s="11" t="s">
        <v>78</v>
      </c>
      <c r="J33" s="22" t="s">
        <v>24</v>
      </c>
      <c r="K33" s="19"/>
      <c r="L33" s="9">
        <v>2</v>
      </c>
      <c r="M33" s="23">
        <v>45422</v>
      </c>
      <c r="N33" s="9" t="s">
        <v>25</v>
      </c>
      <c r="O33" s="5">
        <v>6947</v>
      </c>
      <c r="P33" s="22">
        <v>780049</v>
      </c>
      <c r="Q33" s="22"/>
      <c r="R33" s="5"/>
      <c r="S33" s="11"/>
      <c r="T33" s="5" t="s">
        <v>79</v>
      </c>
    </row>
    <row r="34" spans="1:20" hidden="1">
      <c r="A34" s="9">
        <v>33</v>
      </c>
      <c r="B34" s="5">
        <v>2024</v>
      </c>
      <c r="C34" s="5"/>
      <c r="D34" s="5">
        <v>1</v>
      </c>
      <c r="E34" s="5"/>
      <c r="F34" s="5">
        <v>2</v>
      </c>
      <c r="G34" s="5" t="s">
        <v>32</v>
      </c>
      <c r="H34" s="5" t="s">
        <v>32</v>
      </c>
      <c r="I34" s="11" t="s">
        <v>80</v>
      </c>
      <c r="J34" s="22" t="s">
        <v>40</v>
      </c>
      <c r="K34" s="19"/>
      <c r="L34" s="9">
        <v>2</v>
      </c>
      <c r="M34" s="23">
        <v>45429</v>
      </c>
      <c r="N34" s="9" t="s">
        <v>25</v>
      </c>
      <c r="O34" s="5">
        <v>7629</v>
      </c>
      <c r="P34" s="22"/>
      <c r="Q34" s="22"/>
      <c r="R34" s="5"/>
      <c r="S34" s="11"/>
      <c r="T34" s="5"/>
    </row>
    <row r="35" spans="1:20" ht="30" hidden="1">
      <c r="A35" s="9">
        <v>34</v>
      </c>
      <c r="B35" s="5">
        <v>2024</v>
      </c>
      <c r="C35" s="5" t="s">
        <v>71</v>
      </c>
      <c r="D35" s="5">
        <v>3</v>
      </c>
      <c r="E35" s="5"/>
      <c r="F35" s="5">
        <v>2</v>
      </c>
      <c r="G35" s="5" t="s">
        <v>32</v>
      </c>
      <c r="H35" s="5" t="s">
        <v>32</v>
      </c>
      <c r="I35" s="11" t="s">
        <v>81</v>
      </c>
      <c r="J35" s="22" t="s">
        <v>40</v>
      </c>
      <c r="K35" s="19"/>
      <c r="L35" s="9">
        <v>2</v>
      </c>
      <c r="M35" s="23">
        <v>45428</v>
      </c>
      <c r="N35" s="9" t="s">
        <v>25</v>
      </c>
      <c r="O35" s="5">
        <v>7969</v>
      </c>
      <c r="P35" s="32" t="s">
        <v>82</v>
      </c>
      <c r="Q35" s="32"/>
      <c r="R35" s="5"/>
      <c r="S35" s="11"/>
      <c r="T35" s="5"/>
    </row>
    <row r="36" spans="1:20" ht="30" hidden="1">
      <c r="A36" s="5">
        <v>35</v>
      </c>
      <c r="B36" s="5">
        <v>2024</v>
      </c>
      <c r="C36" s="5"/>
      <c r="D36" s="5">
        <v>2</v>
      </c>
      <c r="E36" s="5"/>
      <c r="F36" s="5">
        <v>2</v>
      </c>
      <c r="G36" s="5" t="s">
        <v>37</v>
      </c>
      <c r="H36" s="5" t="s">
        <v>37</v>
      </c>
      <c r="I36" s="11" t="s">
        <v>83</v>
      </c>
      <c r="J36" s="22" t="s">
        <v>24</v>
      </c>
      <c r="K36" s="19"/>
      <c r="L36" s="9">
        <v>2</v>
      </c>
      <c r="M36" s="23">
        <v>45432</v>
      </c>
      <c r="N36" s="9" t="s">
        <v>25</v>
      </c>
      <c r="O36" s="5">
        <v>7740</v>
      </c>
      <c r="P36" s="22">
        <v>781135</v>
      </c>
      <c r="Q36" s="22"/>
      <c r="R36" s="5"/>
      <c r="S36" s="11"/>
      <c r="T36" s="5"/>
    </row>
    <row r="37" spans="1:20" ht="30" hidden="1">
      <c r="A37" s="9">
        <v>36</v>
      </c>
      <c r="B37" s="5">
        <v>2024</v>
      </c>
      <c r="C37" s="5" t="s">
        <v>75</v>
      </c>
      <c r="D37" s="5">
        <v>2</v>
      </c>
      <c r="E37" s="5"/>
      <c r="F37" s="5">
        <v>2</v>
      </c>
      <c r="G37" s="5" t="s">
        <v>37</v>
      </c>
      <c r="H37" s="5" t="s">
        <v>37</v>
      </c>
      <c r="I37" s="11" t="s">
        <v>84</v>
      </c>
      <c r="J37" s="22" t="s">
        <v>24</v>
      </c>
      <c r="K37" s="19"/>
      <c r="L37" s="9">
        <v>2</v>
      </c>
      <c r="M37" s="23">
        <v>45433</v>
      </c>
      <c r="N37" s="9" t="s">
        <v>25</v>
      </c>
      <c r="O37" s="5">
        <v>8010</v>
      </c>
      <c r="P37" s="22">
        <v>781294</v>
      </c>
      <c r="Q37" s="22"/>
      <c r="R37" s="5"/>
      <c r="S37" s="11"/>
      <c r="T37" s="5" t="s">
        <v>85</v>
      </c>
    </row>
    <row r="38" spans="1:20" ht="30" hidden="1">
      <c r="A38" s="9">
        <v>37</v>
      </c>
      <c r="B38" s="5">
        <v>2024</v>
      </c>
      <c r="C38" s="5" t="s">
        <v>67</v>
      </c>
      <c r="D38" s="5">
        <v>2</v>
      </c>
      <c r="E38" s="5"/>
      <c r="F38" s="5">
        <v>2</v>
      </c>
      <c r="G38" s="5" t="s">
        <v>41</v>
      </c>
      <c r="H38" s="5" t="s">
        <v>86</v>
      </c>
      <c r="I38" s="11" t="s">
        <v>87</v>
      </c>
      <c r="J38" s="22" t="s">
        <v>24</v>
      </c>
      <c r="K38" s="19"/>
      <c r="L38" s="9">
        <v>2</v>
      </c>
      <c r="M38" s="23">
        <v>45800</v>
      </c>
      <c r="N38" s="9" t="s">
        <v>25</v>
      </c>
      <c r="O38" s="5">
        <v>8296</v>
      </c>
      <c r="P38" s="22">
        <v>781421</v>
      </c>
      <c r="Q38" s="22"/>
      <c r="R38" s="5"/>
      <c r="S38" s="11"/>
      <c r="T38" s="5"/>
    </row>
    <row r="39" spans="1:20" ht="30" hidden="1">
      <c r="A39" s="5">
        <v>38</v>
      </c>
      <c r="B39" s="5">
        <v>2024</v>
      </c>
      <c r="C39" s="5"/>
      <c r="D39" s="5">
        <v>2</v>
      </c>
      <c r="E39" s="5"/>
      <c r="F39" s="5">
        <v>3</v>
      </c>
      <c r="G39" s="5" t="s">
        <v>32</v>
      </c>
      <c r="H39" s="5" t="s">
        <v>32</v>
      </c>
      <c r="I39" s="11" t="s">
        <v>88</v>
      </c>
      <c r="J39" s="22" t="s">
        <v>24</v>
      </c>
      <c r="K39" s="19"/>
      <c r="L39" s="9">
        <v>5</v>
      </c>
      <c r="M39" s="23">
        <v>45448</v>
      </c>
      <c r="N39" s="9" t="s">
        <v>25</v>
      </c>
      <c r="O39" s="5">
        <v>10686</v>
      </c>
      <c r="P39" s="22">
        <v>782545</v>
      </c>
      <c r="Q39" s="22"/>
      <c r="R39" s="5">
        <v>4</v>
      </c>
      <c r="S39" s="11" t="s">
        <v>89</v>
      </c>
      <c r="T39" s="5" t="s">
        <v>90</v>
      </c>
    </row>
    <row r="40" spans="1:20" ht="30" hidden="1">
      <c r="A40" s="9">
        <v>39</v>
      </c>
      <c r="B40" s="5">
        <v>2024</v>
      </c>
      <c r="C40" s="5"/>
      <c r="D40" s="5">
        <v>3</v>
      </c>
      <c r="E40" s="5"/>
      <c r="F40" s="5">
        <v>3</v>
      </c>
      <c r="G40" s="5" t="s">
        <v>32</v>
      </c>
      <c r="H40" s="5" t="s">
        <v>32</v>
      </c>
      <c r="I40" s="11" t="s">
        <v>91</v>
      </c>
      <c r="J40" s="22" t="s">
        <v>24</v>
      </c>
      <c r="K40" s="19"/>
      <c r="L40" s="9">
        <v>5</v>
      </c>
      <c r="M40" s="23">
        <v>45450</v>
      </c>
      <c r="N40" s="9" t="s">
        <v>25</v>
      </c>
      <c r="O40" s="5">
        <v>8784</v>
      </c>
      <c r="P40" s="22"/>
      <c r="Q40" s="22"/>
      <c r="R40" s="5">
        <v>6</v>
      </c>
      <c r="S40" s="11" t="s">
        <v>89</v>
      </c>
      <c r="T40" s="5"/>
    </row>
    <row r="41" spans="1:20" hidden="1">
      <c r="A41" s="9">
        <v>40</v>
      </c>
      <c r="B41" s="5">
        <v>2024</v>
      </c>
      <c r="C41" s="5"/>
      <c r="D41" s="5">
        <v>2</v>
      </c>
      <c r="E41" s="5"/>
      <c r="F41" s="5">
        <v>3</v>
      </c>
      <c r="G41" s="5" t="s">
        <v>32</v>
      </c>
      <c r="H41" s="5" t="s">
        <v>32</v>
      </c>
      <c r="I41" s="11" t="s">
        <v>92</v>
      </c>
      <c r="J41" s="22" t="s">
        <v>24</v>
      </c>
      <c r="K41" s="19"/>
      <c r="L41" s="9">
        <v>2</v>
      </c>
      <c r="M41" s="22" t="s">
        <v>93</v>
      </c>
      <c r="N41" s="9" t="s">
        <v>25</v>
      </c>
      <c r="O41" s="5">
        <v>11340</v>
      </c>
      <c r="P41" s="22">
        <v>783057</v>
      </c>
      <c r="Q41" s="22"/>
      <c r="R41" s="5"/>
      <c r="S41" s="11"/>
      <c r="T41" s="5"/>
    </row>
    <row r="42" spans="1:20" hidden="1">
      <c r="A42" s="5">
        <v>41</v>
      </c>
      <c r="B42" s="5">
        <v>2024</v>
      </c>
      <c r="C42" s="5"/>
      <c r="D42" s="5">
        <v>1</v>
      </c>
      <c r="E42" s="5"/>
      <c r="F42" s="5">
        <v>3</v>
      </c>
      <c r="G42" s="5" t="s">
        <v>32</v>
      </c>
      <c r="H42" s="5" t="s">
        <v>32</v>
      </c>
      <c r="I42" s="11" t="s">
        <v>94</v>
      </c>
      <c r="J42" s="19" t="s">
        <v>24</v>
      </c>
      <c r="K42" s="19"/>
      <c r="L42" s="9">
        <v>3</v>
      </c>
      <c r="M42" s="30">
        <v>45455</v>
      </c>
      <c r="N42" s="9" t="s">
        <v>25</v>
      </c>
      <c r="O42" s="5"/>
      <c r="P42" s="19"/>
      <c r="Q42" s="19"/>
      <c r="R42" s="5"/>
      <c r="S42" s="11"/>
      <c r="T42" s="9"/>
    </row>
    <row r="43" spans="1:20" hidden="1">
      <c r="A43" s="9">
        <v>42</v>
      </c>
      <c r="B43" s="5">
        <v>2024</v>
      </c>
      <c r="C43" s="5"/>
      <c r="D43" s="5">
        <v>1</v>
      </c>
      <c r="E43" s="5"/>
      <c r="F43" s="5">
        <v>3</v>
      </c>
      <c r="G43" s="5" t="s">
        <v>37</v>
      </c>
      <c r="H43" s="5" t="s">
        <v>37</v>
      </c>
      <c r="I43" s="11" t="s">
        <v>95</v>
      </c>
      <c r="J43" s="22" t="s">
        <v>24</v>
      </c>
      <c r="K43" s="19"/>
      <c r="L43" s="9">
        <v>5</v>
      </c>
      <c r="M43" s="23">
        <v>45464</v>
      </c>
      <c r="N43" s="9" t="s">
        <v>25</v>
      </c>
      <c r="O43" s="5">
        <v>12107</v>
      </c>
      <c r="P43" s="22">
        <v>784090</v>
      </c>
      <c r="Q43" s="22"/>
      <c r="R43" s="5">
        <v>2</v>
      </c>
      <c r="S43" s="11" t="s">
        <v>96</v>
      </c>
      <c r="T43" s="5" t="s">
        <v>97</v>
      </c>
    </row>
    <row r="44" spans="1:20" hidden="1">
      <c r="A44" s="9">
        <v>43</v>
      </c>
      <c r="B44" s="5">
        <v>2024</v>
      </c>
      <c r="C44" s="5"/>
      <c r="D44" s="5">
        <v>2</v>
      </c>
      <c r="E44" s="5"/>
      <c r="F44" s="5">
        <v>3</v>
      </c>
      <c r="G44" s="5" t="s">
        <v>37</v>
      </c>
      <c r="H44" s="5" t="s">
        <v>37</v>
      </c>
      <c r="I44" s="11" t="s">
        <v>98</v>
      </c>
      <c r="J44" s="19" t="s">
        <v>24</v>
      </c>
      <c r="K44" s="19"/>
      <c r="L44" s="9">
        <v>3</v>
      </c>
      <c r="M44" s="30">
        <v>45457</v>
      </c>
      <c r="N44" s="9" t="s">
        <v>25</v>
      </c>
      <c r="O44" s="5">
        <v>11642</v>
      </c>
      <c r="P44" s="19"/>
      <c r="Q44" s="19"/>
      <c r="R44" s="5"/>
      <c r="S44" s="11"/>
      <c r="T44" s="9"/>
    </row>
    <row r="45" spans="1:20" hidden="1">
      <c r="A45" s="5">
        <v>44</v>
      </c>
      <c r="B45" s="5">
        <v>2024</v>
      </c>
      <c r="C45" s="5"/>
      <c r="D45" s="5">
        <v>3</v>
      </c>
      <c r="E45" s="5"/>
      <c r="F45" s="5">
        <v>4</v>
      </c>
      <c r="G45" s="5" t="s">
        <v>32</v>
      </c>
      <c r="H45" s="5" t="s">
        <v>32</v>
      </c>
      <c r="I45" s="11" t="s">
        <v>99</v>
      </c>
      <c r="J45" s="22" t="s">
        <v>40</v>
      </c>
      <c r="K45" s="19"/>
      <c r="L45" s="9">
        <v>4</v>
      </c>
      <c r="M45" s="23">
        <v>45483</v>
      </c>
      <c r="N45" s="9" t="s">
        <v>25</v>
      </c>
      <c r="O45" s="5">
        <v>16708</v>
      </c>
      <c r="P45" s="22"/>
      <c r="Q45" s="22"/>
      <c r="R45" s="5"/>
      <c r="S45" s="11"/>
      <c r="T45" s="5"/>
    </row>
    <row r="46" spans="1:20" hidden="1">
      <c r="A46" s="9">
        <v>45</v>
      </c>
      <c r="B46" s="5">
        <v>2024</v>
      </c>
      <c r="C46" s="5"/>
      <c r="D46" s="5">
        <v>2</v>
      </c>
      <c r="E46" s="5"/>
      <c r="F46" s="5">
        <v>4</v>
      </c>
      <c r="G46" s="5" t="s">
        <v>32</v>
      </c>
      <c r="H46" s="5" t="s">
        <v>32</v>
      </c>
      <c r="I46" s="11" t="s">
        <v>100</v>
      </c>
      <c r="J46" s="22" t="s">
        <v>40</v>
      </c>
      <c r="K46" s="19"/>
      <c r="L46" s="9">
        <v>5</v>
      </c>
      <c r="M46" s="23">
        <v>45475</v>
      </c>
      <c r="N46" s="9" t="s">
        <v>25</v>
      </c>
      <c r="O46" s="5">
        <v>14114</v>
      </c>
      <c r="P46" s="22">
        <v>784314</v>
      </c>
      <c r="Q46" s="22"/>
      <c r="R46" s="5">
        <v>8</v>
      </c>
      <c r="S46" s="11" t="s">
        <v>96</v>
      </c>
      <c r="T46" s="5"/>
    </row>
    <row r="47" spans="1:20" hidden="1">
      <c r="A47" s="9">
        <v>46</v>
      </c>
      <c r="B47" s="5">
        <v>2024</v>
      </c>
      <c r="C47" s="5"/>
      <c r="D47" s="5">
        <v>1</v>
      </c>
      <c r="E47" s="5"/>
      <c r="F47" s="5">
        <v>4</v>
      </c>
      <c r="G47" s="5" t="s">
        <v>32</v>
      </c>
      <c r="H47" s="5" t="s">
        <v>32</v>
      </c>
      <c r="I47" s="11" t="s">
        <v>101</v>
      </c>
      <c r="J47" s="19" t="s">
        <v>24</v>
      </c>
      <c r="K47" s="19"/>
      <c r="L47" s="9">
        <v>4</v>
      </c>
      <c r="M47" s="30">
        <v>45470</v>
      </c>
      <c r="N47" s="9" t="s">
        <v>25</v>
      </c>
      <c r="O47" s="5">
        <v>13244</v>
      </c>
      <c r="P47" s="19"/>
      <c r="Q47" s="19"/>
      <c r="R47" s="5"/>
      <c r="S47" s="11"/>
      <c r="T47" s="9"/>
    </row>
    <row r="48" spans="1:20" hidden="1">
      <c r="A48" s="5">
        <v>47</v>
      </c>
      <c r="B48" s="5">
        <v>2024</v>
      </c>
      <c r="C48" s="5"/>
      <c r="D48" s="5">
        <v>1</v>
      </c>
      <c r="E48" s="5"/>
      <c r="F48" s="5">
        <v>4</v>
      </c>
      <c r="G48" s="5" t="s">
        <v>26</v>
      </c>
      <c r="H48" s="5" t="s">
        <v>26</v>
      </c>
      <c r="I48" s="11" t="s">
        <v>102</v>
      </c>
      <c r="J48" s="22" t="s">
        <v>40</v>
      </c>
      <c r="K48" s="19"/>
      <c r="L48" s="9">
        <v>4</v>
      </c>
      <c r="M48" s="23">
        <v>45471</v>
      </c>
      <c r="N48" s="9" t="s">
        <v>25</v>
      </c>
      <c r="O48" s="5">
        <v>13663</v>
      </c>
      <c r="P48" s="22">
        <v>784761</v>
      </c>
      <c r="Q48" s="22"/>
      <c r="R48" s="5"/>
      <c r="S48" s="11"/>
      <c r="T48" s="5"/>
    </row>
    <row r="49" spans="1:20" hidden="1">
      <c r="A49" s="9">
        <v>48</v>
      </c>
      <c r="B49" s="5">
        <v>2024</v>
      </c>
      <c r="C49" s="5"/>
      <c r="D49" s="5">
        <v>3</v>
      </c>
      <c r="E49" s="5"/>
      <c r="F49" s="5">
        <v>4</v>
      </c>
      <c r="G49" s="5" t="s">
        <v>26</v>
      </c>
      <c r="H49" s="5" t="s">
        <v>26</v>
      </c>
      <c r="I49" s="11" t="s">
        <v>103</v>
      </c>
      <c r="J49" s="22" t="s">
        <v>40</v>
      </c>
      <c r="K49" s="19"/>
      <c r="L49" s="9">
        <v>4</v>
      </c>
      <c r="M49" s="23">
        <v>45483</v>
      </c>
      <c r="N49" s="9" t="s">
        <v>25</v>
      </c>
      <c r="O49" s="5">
        <v>15705</v>
      </c>
      <c r="P49" s="22">
        <v>785918</v>
      </c>
      <c r="Q49" s="22"/>
      <c r="R49" s="5"/>
      <c r="S49" s="11"/>
      <c r="T49" s="5" t="s">
        <v>104</v>
      </c>
    </row>
    <row r="50" spans="1:20" ht="30" hidden="1">
      <c r="A50" s="9">
        <v>49</v>
      </c>
      <c r="B50" s="5">
        <v>2024</v>
      </c>
      <c r="C50" s="5"/>
      <c r="D50" s="5">
        <v>1</v>
      </c>
      <c r="E50" s="5"/>
      <c r="F50" s="5">
        <v>4</v>
      </c>
      <c r="G50" s="5" t="s">
        <v>22</v>
      </c>
      <c r="H50" s="5" t="s">
        <v>22</v>
      </c>
      <c r="I50" s="11" t="s">
        <v>105</v>
      </c>
      <c r="J50" s="22" t="s">
        <v>24</v>
      </c>
      <c r="K50" s="19"/>
      <c r="L50" s="9">
        <v>4</v>
      </c>
      <c r="M50" s="23">
        <v>45490</v>
      </c>
      <c r="N50" s="9" t="s">
        <v>25</v>
      </c>
      <c r="O50" s="5">
        <v>16568</v>
      </c>
      <c r="P50" s="22">
        <v>786671</v>
      </c>
      <c r="Q50" s="22"/>
      <c r="R50" s="5"/>
      <c r="S50" s="11"/>
      <c r="T50" s="5"/>
    </row>
    <row r="51" spans="1:20" ht="30" hidden="1">
      <c r="A51" s="5">
        <v>50</v>
      </c>
      <c r="B51" s="5">
        <v>2024</v>
      </c>
      <c r="C51" s="5"/>
      <c r="D51" s="5">
        <v>3</v>
      </c>
      <c r="E51" s="5"/>
      <c r="F51" s="5">
        <v>4</v>
      </c>
      <c r="G51" s="5" t="s">
        <v>32</v>
      </c>
      <c r="H51" s="5" t="s">
        <v>32</v>
      </c>
      <c r="I51" s="11" t="s">
        <v>106</v>
      </c>
      <c r="J51" s="19" t="s">
        <v>40</v>
      </c>
      <c r="K51" s="19"/>
      <c r="L51" s="9">
        <v>4</v>
      </c>
      <c r="M51" s="30">
        <v>45446</v>
      </c>
      <c r="N51" s="9" t="s">
        <v>25</v>
      </c>
      <c r="O51" s="5">
        <v>10113</v>
      </c>
      <c r="P51" s="19">
        <v>419966</v>
      </c>
      <c r="Q51" s="19"/>
      <c r="R51" s="5"/>
      <c r="S51" s="11"/>
      <c r="T51" s="9"/>
    </row>
    <row r="52" spans="1:20" hidden="1">
      <c r="A52" s="9">
        <v>51</v>
      </c>
      <c r="B52" s="5">
        <v>2024</v>
      </c>
      <c r="C52" s="5"/>
      <c r="D52" s="5">
        <v>3</v>
      </c>
      <c r="E52" s="5"/>
      <c r="F52" s="5">
        <v>4</v>
      </c>
      <c r="G52" s="5" t="s">
        <v>22</v>
      </c>
      <c r="H52" s="5" t="s">
        <v>22</v>
      </c>
      <c r="I52" s="11" t="s">
        <v>107</v>
      </c>
      <c r="J52" s="22" t="s">
        <v>24</v>
      </c>
      <c r="K52" s="19"/>
      <c r="L52" s="9">
        <v>4</v>
      </c>
      <c r="M52" s="23">
        <v>45491</v>
      </c>
      <c r="N52" s="9" t="s">
        <v>25</v>
      </c>
      <c r="O52" s="5">
        <v>16728</v>
      </c>
      <c r="P52" s="22">
        <v>786766</v>
      </c>
      <c r="Q52" s="22"/>
      <c r="R52" s="5"/>
      <c r="S52" s="11"/>
      <c r="T52" s="5" t="s">
        <v>108</v>
      </c>
    </row>
    <row r="53" spans="1:20" hidden="1">
      <c r="A53" s="9">
        <v>52</v>
      </c>
      <c r="B53" s="5">
        <v>2024</v>
      </c>
      <c r="C53" s="5"/>
      <c r="D53" s="5">
        <v>1</v>
      </c>
      <c r="E53" s="5"/>
      <c r="F53" s="5">
        <v>4</v>
      </c>
      <c r="G53" s="5" t="s">
        <v>26</v>
      </c>
      <c r="H53" s="5" t="s">
        <v>26</v>
      </c>
      <c r="I53" s="11" t="s">
        <v>109</v>
      </c>
      <c r="J53" s="22" t="s">
        <v>40</v>
      </c>
      <c r="K53" s="19"/>
      <c r="L53" s="9"/>
      <c r="M53" s="23">
        <v>45492</v>
      </c>
      <c r="N53" s="9" t="s">
        <v>25</v>
      </c>
      <c r="O53" s="5">
        <v>16900</v>
      </c>
      <c r="P53" s="22">
        <v>786906</v>
      </c>
      <c r="Q53" s="22"/>
      <c r="R53" s="5"/>
      <c r="S53" s="11"/>
      <c r="T53" s="5"/>
    </row>
    <row r="54" spans="1:20" hidden="1">
      <c r="A54" s="5">
        <v>53</v>
      </c>
      <c r="B54" s="5">
        <v>2024</v>
      </c>
      <c r="C54" s="5"/>
      <c r="D54" s="5">
        <v>1</v>
      </c>
      <c r="E54" s="5"/>
      <c r="F54" s="5">
        <v>4</v>
      </c>
      <c r="G54" s="5" t="s">
        <v>32</v>
      </c>
      <c r="H54" s="5" t="s">
        <v>32</v>
      </c>
      <c r="I54" s="11" t="s">
        <v>80</v>
      </c>
      <c r="J54" s="22" t="s">
        <v>24</v>
      </c>
      <c r="K54" s="19"/>
      <c r="L54" s="9">
        <v>5</v>
      </c>
      <c r="M54" s="23">
        <v>45499</v>
      </c>
      <c r="N54" s="9" t="s">
        <v>25</v>
      </c>
      <c r="O54" s="5">
        <v>17670</v>
      </c>
      <c r="P54" s="22">
        <v>787700</v>
      </c>
      <c r="Q54" s="22"/>
      <c r="R54" s="5">
        <v>12</v>
      </c>
      <c r="S54" s="11" t="s">
        <v>96</v>
      </c>
      <c r="T54" s="5"/>
    </row>
    <row r="55" spans="1:20" hidden="1">
      <c r="A55" s="9">
        <v>54</v>
      </c>
      <c r="B55" s="5">
        <v>2024</v>
      </c>
      <c r="C55" s="5"/>
      <c r="D55" s="5">
        <v>2</v>
      </c>
      <c r="E55" s="5"/>
      <c r="F55" s="5">
        <v>5</v>
      </c>
      <c r="G55" s="5" t="s">
        <v>22</v>
      </c>
      <c r="H55" s="5" t="s">
        <v>22</v>
      </c>
      <c r="I55" s="11" t="s">
        <v>110</v>
      </c>
      <c r="J55" s="22" t="s">
        <v>24</v>
      </c>
      <c r="K55" s="19"/>
      <c r="L55" s="9">
        <v>5</v>
      </c>
      <c r="M55" s="23">
        <v>45503</v>
      </c>
      <c r="N55" s="9" t="s">
        <v>25</v>
      </c>
      <c r="O55" s="5">
        <v>17871</v>
      </c>
      <c r="P55" s="22">
        <v>788164</v>
      </c>
      <c r="Q55" s="22"/>
      <c r="R55" s="5"/>
      <c r="S55" s="11"/>
      <c r="T55" s="5"/>
    </row>
    <row r="56" spans="1:20" hidden="1">
      <c r="A56" s="9">
        <v>55</v>
      </c>
      <c r="B56" s="5">
        <v>2024</v>
      </c>
      <c r="C56" s="5"/>
      <c r="D56" s="5">
        <v>1</v>
      </c>
      <c r="E56" s="5"/>
      <c r="F56" s="5">
        <v>5</v>
      </c>
      <c r="G56" s="5" t="s">
        <v>32</v>
      </c>
      <c r="H56" s="5" t="s">
        <v>32</v>
      </c>
      <c r="I56" s="11" t="s">
        <v>111</v>
      </c>
      <c r="J56" s="22" t="s">
        <v>24</v>
      </c>
      <c r="K56" s="19"/>
      <c r="L56" s="9">
        <v>5</v>
      </c>
      <c r="M56" s="23">
        <v>45504</v>
      </c>
      <c r="N56" s="9" t="s">
        <v>25</v>
      </c>
      <c r="O56" s="5">
        <v>18205</v>
      </c>
      <c r="P56" s="22">
        <v>788122</v>
      </c>
      <c r="Q56" s="22"/>
      <c r="R56" s="5">
        <v>2</v>
      </c>
      <c r="S56" s="11" t="s">
        <v>96</v>
      </c>
      <c r="T56" s="5" t="s">
        <v>112</v>
      </c>
    </row>
    <row r="57" spans="1:20" ht="30" hidden="1">
      <c r="A57" s="5">
        <v>56</v>
      </c>
      <c r="B57" s="5">
        <v>2024</v>
      </c>
      <c r="C57" s="5"/>
      <c r="D57" s="5">
        <v>1</v>
      </c>
      <c r="E57" s="5"/>
      <c r="F57" s="5">
        <v>5</v>
      </c>
      <c r="G57" s="5" t="s">
        <v>26</v>
      </c>
      <c r="H57" s="5" t="s">
        <v>26</v>
      </c>
      <c r="I57" s="11" t="s">
        <v>113</v>
      </c>
      <c r="J57" s="22" t="s">
        <v>24</v>
      </c>
      <c r="K57" s="19"/>
      <c r="L57" s="9">
        <v>5</v>
      </c>
      <c r="M57" s="23">
        <v>45504</v>
      </c>
      <c r="N57" s="9" t="s">
        <v>25</v>
      </c>
      <c r="O57" s="5">
        <v>18345</v>
      </c>
      <c r="P57" s="22">
        <v>788297</v>
      </c>
      <c r="Q57" s="22"/>
      <c r="R57" s="5"/>
      <c r="S57" s="11"/>
      <c r="T57" s="5"/>
    </row>
    <row r="58" spans="1:20" ht="30" hidden="1">
      <c r="A58" s="9">
        <v>57</v>
      </c>
      <c r="B58" s="5">
        <v>2024</v>
      </c>
      <c r="C58" s="5"/>
      <c r="D58" s="5">
        <v>1</v>
      </c>
      <c r="E58" s="5"/>
      <c r="F58" s="5">
        <v>5</v>
      </c>
      <c r="G58" s="5" t="s">
        <v>32</v>
      </c>
      <c r="H58" s="5" t="s">
        <v>32</v>
      </c>
      <c r="I58" s="11" t="s">
        <v>114</v>
      </c>
      <c r="J58" s="22" t="s">
        <v>40</v>
      </c>
      <c r="K58" s="19"/>
      <c r="L58" s="9">
        <v>6</v>
      </c>
      <c r="M58" s="23">
        <v>45520</v>
      </c>
      <c r="N58" s="9" t="s">
        <v>25</v>
      </c>
      <c r="O58" s="5">
        <v>20989</v>
      </c>
      <c r="P58" s="22">
        <v>790301</v>
      </c>
      <c r="Q58" s="22"/>
      <c r="R58" s="5">
        <v>3</v>
      </c>
      <c r="S58" s="11" t="s">
        <v>115</v>
      </c>
      <c r="T58" s="5"/>
    </row>
    <row r="59" spans="1:20" hidden="1">
      <c r="A59" s="9">
        <v>58</v>
      </c>
      <c r="B59" s="5">
        <v>2024</v>
      </c>
      <c r="C59" s="5"/>
      <c r="D59" s="5">
        <v>2</v>
      </c>
      <c r="E59" s="5"/>
      <c r="F59" s="5">
        <v>5</v>
      </c>
      <c r="G59" s="5" t="s">
        <v>32</v>
      </c>
      <c r="H59" s="5" t="s">
        <v>32</v>
      </c>
      <c r="I59" s="11" t="s">
        <v>116</v>
      </c>
      <c r="J59" s="22" t="s">
        <v>24</v>
      </c>
      <c r="K59" s="19"/>
      <c r="L59" s="9">
        <v>5</v>
      </c>
      <c r="M59" s="23">
        <v>45525</v>
      </c>
      <c r="N59" s="9" t="s">
        <v>25</v>
      </c>
      <c r="O59" s="5">
        <v>21571</v>
      </c>
      <c r="P59" s="22">
        <v>790765</v>
      </c>
      <c r="Q59" s="22"/>
      <c r="R59" s="5">
        <v>1</v>
      </c>
      <c r="S59" s="11" t="s">
        <v>96</v>
      </c>
      <c r="T59" s="5"/>
    </row>
    <row r="60" spans="1:20" hidden="1">
      <c r="A60" s="5">
        <v>59</v>
      </c>
      <c r="B60" s="5">
        <v>2024</v>
      </c>
      <c r="C60" s="5"/>
      <c r="D60" s="5">
        <v>3</v>
      </c>
      <c r="E60" s="5"/>
      <c r="F60" s="5">
        <v>5</v>
      </c>
      <c r="G60" s="5" t="s">
        <v>22</v>
      </c>
      <c r="H60" s="5" t="s">
        <v>22</v>
      </c>
      <c r="I60" s="11" t="s">
        <v>117</v>
      </c>
      <c r="J60" s="22" t="s">
        <v>40</v>
      </c>
      <c r="K60" s="19"/>
      <c r="L60" s="9">
        <v>6</v>
      </c>
      <c r="M60" s="23">
        <v>45533</v>
      </c>
      <c r="N60" s="9" t="s">
        <v>25</v>
      </c>
      <c r="O60" s="5">
        <v>22607</v>
      </c>
      <c r="P60" s="22"/>
      <c r="Q60" s="22"/>
      <c r="R60" s="5"/>
      <c r="S60" s="11"/>
      <c r="T60" s="5"/>
    </row>
    <row r="61" spans="1:20" ht="18" hidden="1" customHeight="1">
      <c r="A61" s="9">
        <v>60</v>
      </c>
      <c r="B61" s="5">
        <v>2024</v>
      </c>
      <c r="C61" s="5"/>
      <c r="D61" s="5">
        <v>1</v>
      </c>
      <c r="E61" s="5"/>
      <c r="F61" s="5">
        <v>6</v>
      </c>
      <c r="G61" s="5" t="s">
        <v>37</v>
      </c>
      <c r="H61" s="5" t="s">
        <v>37</v>
      </c>
      <c r="I61" s="11" t="s">
        <v>118</v>
      </c>
      <c r="J61" s="22" t="s">
        <v>40</v>
      </c>
      <c r="K61" s="19"/>
      <c r="L61" s="9">
        <v>6</v>
      </c>
      <c r="M61" s="23">
        <v>45534</v>
      </c>
      <c r="N61" s="9" t="s">
        <v>25</v>
      </c>
      <c r="O61" s="5">
        <v>22980</v>
      </c>
      <c r="P61" s="22">
        <v>786906</v>
      </c>
      <c r="Q61" s="22"/>
      <c r="R61" s="5">
        <v>10</v>
      </c>
      <c r="S61" s="11" t="s">
        <v>119</v>
      </c>
      <c r="T61" s="5"/>
    </row>
    <row r="62" spans="1:20" ht="18" hidden="1" customHeight="1">
      <c r="A62" s="9">
        <v>61</v>
      </c>
      <c r="B62" s="5">
        <v>2024</v>
      </c>
      <c r="C62" s="5"/>
      <c r="D62" s="5">
        <v>1</v>
      </c>
      <c r="E62" s="5"/>
      <c r="F62" s="5">
        <v>6</v>
      </c>
      <c r="G62" s="5" t="s">
        <v>32</v>
      </c>
      <c r="H62" s="5" t="s">
        <v>32</v>
      </c>
      <c r="I62" s="11" t="s">
        <v>120</v>
      </c>
      <c r="J62" s="22" t="s">
        <v>40</v>
      </c>
      <c r="K62" s="19"/>
      <c r="L62" s="9">
        <v>6</v>
      </c>
      <c r="M62" s="23">
        <v>45544</v>
      </c>
      <c r="N62" s="9" t="s">
        <v>25</v>
      </c>
      <c r="O62" s="5">
        <v>24544</v>
      </c>
      <c r="P62" s="21">
        <v>794294</v>
      </c>
      <c r="R62" s="5">
        <v>18000</v>
      </c>
      <c r="S62" s="11" t="s">
        <v>96</v>
      </c>
      <c r="T62" s="5"/>
    </row>
    <row r="63" spans="1:20" ht="18" hidden="1" customHeight="1">
      <c r="A63" s="5">
        <v>62</v>
      </c>
      <c r="B63" s="5">
        <v>2024</v>
      </c>
      <c r="C63" s="5"/>
      <c r="D63" s="5">
        <v>1</v>
      </c>
      <c r="E63" s="5"/>
      <c r="F63" s="5">
        <v>6</v>
      </c>
      <c r="G63" s="5" t="s">
        <v>32</v>
      </c>
      <c r="H63" s="5" t="s">
        <v>32</v>
      </c>
      <c r="I63" s="11" t="s">
        <v>121</v>
      </c>
      <c r="J63" s="22" t="s">
        <v>40</v>
      </c>
      <c r="K63" s="19"/>
      <c r="L63" s="9">
        <v>6</v>
      </c>
      <c r="M63" s="23">
        <v>45535</v>
      </c>
      <c r="N63" s="9" t="s">
        <v>25</v>
      </c>
      <c r="O63" s="5">
        <v>22981</v>
      </c>
      <c r="P63" s="22">
        <v>792625</v>
      </c>
      <c r="Q63" s="22"/>
      <c r="R63" s="5">
        <v>36</v>
      </c>
      <c r="S63" s="11" t="s">
        <v>96</v>
      </c>
      <c r="T63" s="5"/>
    </row>
    <row r="64" spans="1:20" ht="18" hidden="1" customHeight="1">
      <c r="A64" s="9">
        <v>63</v>
      </c>
      <c r="B64" s="5">
        <v>2024</v>
      </c>
      <c r="C64" s="5"/>
      <c r="D64" s="5">
        <v>1</v>
      </c>
      <c r="E64" s="5"/>
      <c r="F64" s="5">
        <v>6</v>
      </c>
      <c r="G64" s="5" t="s">
        <v>37</v>
      </c>
      <c r="H64" s="5" t="s">
        <v>37</v>
      </c>
      <c r="I64" s="11" t="s">
        <v>122</v>
      </c>
      <c r="J64" s="22" t="s">
        <v>40</v>
      </c>
      <c r="K64" s="19"/>
      <c r="L64" s="9">
        <v>6</v>
      </c>
      <c r="M64" s="23">
        <v>45544</v>
      </c>
      <c r="N64" s="9" t="s">
        <v>25</v>
      </c>
      <c r="O64" s="5">
        <v>24572</v>
      </c>
      <c r="P64" s="22">
        <v>794297</v>
      </c>
      <c r="Q64" s="22"/>
      <c r="R64" s="5">
        <v>4</v>
      </c>
      <c r="S64" s="11" t="s">
        <v>96</v>
      </c>
      <c r="T64" s="5"/>
    </row>
    <row r="65" spans="1:20" ht="18" hidden="1" customHeight="1">
      <c r="A65" s="9">
        <v>64</v>
      </c>
      <c r="B65" s="5">
        <v>2024</v>
      </c>
      <c r="C65" s="5"/>
      <c r="D65" s="5">
        <v>2</v>
      </c>
      <c r="E65" s="5"/>
      <c r="F65" s="5">
        <v>6</v>
      </c>
      <c r="G65" s="5" t="s">
        <v>26</v>
      </c>
      <c r="H65" s="5" t="s">
        <v>26</v>
      </c>
      <c r="I65" s="11" t="s">
        <v>123</v>
      </c>
      <c r="J65" s="22" t="s">
        <v>24</v>
      </c>
      <c r="K65" s="19"/>
      <c r="L65" s="9">
        <v>7</v>
      </c>
      <c r="M65" s="23"/>
      <c r="N65" s="9" t="s">
        <v>25</v>
      </c>
      <c r="O65" s="5">
        <v>25801</v>
      </c>
      <c r="P65" s="22">
        <v>793822</v>
      </c>
      <c r="Q65" s="22"/>
      <c r="R65" s="5">
        <v>2</v>
      </c>
      <c r="S65" s="11" t="s">
        <v>119</v>
      </c>
      <c r="T65" s="5"/>
    </row>
    <row r="66" spans="1:20" ht="18" hidden="1" customHeight="1">
      <c r="A66" s="5">
        <v>65</v>
      </c>
      <c r="B66" s="5">
        <v>2024</v>
      </c>
      <c r="C66" s="5"/>
      <c r="D66" s="5">
        <v>1</v>
      </c>
      <c r="E66" s="5"/>
      <c r="F66" s="5">
        <v>6</v>
      </c>
      <c r="G66" s="5" t="s">
        <v>32</v>
      </c>
      <c r="H66" s="5" t="s">
        <v>32</v>
      </c>
      <c r="I66" s="11" t="s">
        <v>124</v>
      </c>
      <c r="J66" s="22" t="s">
        <v>24</v>
      </c>
      <c r="K66" s="19"/>
      <c r="L66" s="9">
        <v>6</v>
      </c>
      <c r="M66" s="23"/>
      <c r="N66" s="9" t="s">
        <v>25</v>
      </c>
      <c r="O66" s="5"/>
      <c r="P66" s="22"/>
      <c r="Q66" s="22"/>
      <c r="R66" s="5">
        <v>16</v>
      </c>
      <c r="S66" s="11" t="s">
        <v>96</v>
      </c>
      <c r="T66" s="5"/>
    </row>
    <row r="67" spans="1:20" hidden="1">
      <c r="A67" s="9">
        <v>66</v>
      </c>
      <c r="B67" s="5">
        <v>2024</v>
      </c>
      <c r="C67" s="5"/>
      <c r="D67" s="5">
        <v>1</v>
      </c>
      <c r="E67" s="5"/>
      <c r="F67" s="5">
        <v>6</v>
      </c>
      <c r="G67" s="5" t="s">
        <v>26</v>
      </c>
      <c r="H67" s="5" t="s">
        <v>26</v>
      </c>
      <c r="I67" s="11" t="s">
        <v>125</v>
      </c>
      <c r="J67" s="5" t="s">
        <v>24</v>
      </c>
      <c r="K67" s="9"/>
      <c r="L67" s="9">
        <v>7</v>
      </c>
      <c r="M67" s="15">
        <v>45561</v>
      </c>
      <c r="N67" s="9" t="s">
        <v>25</v>
      </c>
      <c r="O67" s="5">
        <v>27683</v>
      </c>
      <c r="P67" s="5">
        <v>795603</v>
      </c>
      <c r="Q67" s="5"/>
      <c r="R67" s="5">
        <v>5</v>
      </c>
      <c r="S67" s="11" t="s">
        <v>96</v>
      </c>
      <c r="T67" s="5"/>
    </row>
    <row r="68" spans="1:20" ht="30" hidden="1">
      <c r="A68" s="9">
        <v>67</v>
      </c>
      <c r="B68" s="5">
        <v>2024</v>
      </c>
      <c r="C68" s="5"/>
      <c r="D68" s="5">
        <v>2</v>
      </c>
      <c r="E68" s="5"/>
      <c r="F68" s="5">
        <v>7</v>
      </c>
      <c r="G68" s="5" t="s">
        <v>26</v>
      </c>
      <c r="H68" s="5" t="s">
        <v>26</v>
      </c>
      <c r="I68" s="11" t="s">
        <v>126</v>
      </c>
      <c r="J68" s="5" t="s">
        <v>24</v>
      </c>
      <c r="K68" s="9"/>
      <c r="L68" s="9">
        <v>8</v>
      </c>
      <c r="M68" s="15">
        <v>45573</v>
      </c>
      <c r="N68" s="9" t="s">
        <v>25</v>
      </c>
      <c r="O68" s="5">
        <v>30775</v>
      </c>
      <c r="P68" s="5">
        <v>794430</v>
      </c>
      <c r="Q68" s="5"/>
      <c r="R68" s="5"/>
      <c r="S68" s="11"/>
      <c r="T68" s="33"/>
    </row>
    <row r="69" spans="1:20" ht="30" hidden="1">
      <c r="A69" s="5">
        <v>68</v>
      </c>
      <c r="B69" s="5">
        <v>2024</v>
      </c>
      <c r="C69" s="5"/>
      <c r="D69" s="5">
        <v>2</v>
      </c>
      <c r="E69" s="5"/>
      <c r="F69" s="5">
        <v>7</v>
      </c>
      <c r="G69" s="5" t="s">
        <v>26</v>
      </c>
      <c r="H69" s="5" t="s">
        <v>26</v>
      </c>
      <c r="I69" s="11" t="s">
        <v>127</v>
      </c>
      <c r="J69" s="5" t="s">
        <v>40</v>
      </c>
      <c r="K69" s="9"/>
      <c r="L69" s="9">
        <v>8</v>
      </c>
      <c r="M69" s="15">
        <v>45580</v>
      </c>
      <c r="N69" s="9" t="s">
        <v>25</v>
      </c>
      <c r="O69" s="5">
        <v>31593</v>
      </c>
      <c r="P69" s="5">
        <v>799356</v>
      </c>
      <c r="Q69" s="5"/>
      <c r="R69" s="5">
        <v>4</v>
      </c>
      <c r="S69" s="11" t="s">
        <v>96</v>
      </c>
      <c r="T69" s="33"/>
    </row>
    <row r="70" spans="1:20" ht="30" hidden="1">
      <c r="A70" s="9">
        <v>69</v>
      </c>
      <c r="B70" s="5">
        <v>2024</v>
      </c>
      <c r="C70" s="5"/>
      <c r="D70" s="9">
        <v>2</v>
      </c>
      <c r="E70" s="9"/>
      <c r="F70" s="9">
        <v>7</v>
      </c>
      <c r="G70" s="9" t="s">
        <v>32</v>
      </c>
      <c r="H70" s="9" t="s">
        <v>32</v>
      </c>
      <c r="I70" s="12" t="s">
        <v>128</v>
      </c>
      <c r="J70" s="9" t="s">
        <v>24</v>
      </c>
      <c r="K70" s="9"/>
      <c r="L70" s="9">
        <v>8</v>
      </c>
      <c r="M70" s="31">
        <v>45573</v>
      </c>
      <c r="N70" s="9" t="s">
        <v>25</v>
      </c>
      <c r="O70" s="9">
        <v>30837</v>
      </c>
      <c r="P70" s="9">
        <v>798036</v>
      </c>
      <c r="Q70" s="9"/>
      <c r="R70" s="9"/>
      <c r="S70" s="12"/>
      <c r="T70" s="5"/>
    </row>
    <row r="71" spans="1:20" hidden="1">
      <c r="A71" s="9">
        <v>70</v>
      </c>
      <c r="B71" s="5">
        <v>2024</v>
      </c>
      <c r="C71" s="5"/>
      <c r="D71" s="9">
        <v>2</v>
      </c>
      <c r="E71" s="9"/>
      <c r="F71" s="9">
        <v>7</v>
      </c>
      <c r="G71" s="9" t="s">
        <v>32</v>
      </c>
      <c r="H71" s="9" t="s">
        <v>32</v>
      </c>
      <c r="I71" s="12" t="s">
        <v>129</v>
      </c>
      <c r="J71" s="9" t="s">
        <v>24</v>
      </c>
      <c r="K71" s="9"/>
      <c r="L71" s="9">
        <v>7</v>
      </c>
      <c r="M71" s="31">
        <v>45573</v>
      </c>
      <c r="N71" s="9" t="s">
        <v>25</v>
      </c>
      <c r="O71" s="9">
        <v>30868</v>
      </c>
      <c r="P71" s="9">
        <v>798065</v>
      </c>
      <c r="Q71" s="9"/>
      <c r="R71" s="9"/>
      <c r="S71" s="12"/>
      <c r="T71" s="9"/>
    </row>
    <row r="72" spans="1:20" hidden="1">
      <c r="A72" s="5">
        <v>71</v>
      </c>
      <c r="B72" s="5">
        <v>2024</v>
      </c>
      <c r="C72" s="5"/>
      <c r="D72" s="5">
        <v>1</v>
      </c>
      <c r="E72" s="5"/>
      <c r="F72" s="5">
        <v>7</v>
      </c>
      <c r="G72" s="5" t="s">
        <v>32</v>
      </c>
      <c r="H72" s="5" t="s">
        <v>32</v>
      </c>
      <c r="I72" s="11" t="s">
        <v>130</v>
      </c>
      <c r="J72" s="5" t="s">
        <v>24</v>
      </c>
      <c r="K72" s="9"/>
      <c r="L72" s="9">
        <v>7</v>
      </c>
      <c r="M72" s="16">
        <v>45575</v>
      </c>
      <c r="N72" s="9" t="s">
        <v>25</v>
      </c>
      <c r="O72" s="5">
        <v>31129</v>
      </c>
      <c r="P72" s="5">
        <v>798375</v>
      </c>
      <c r="Q72" s="5"/>
      <c r="R72" s="5"/>
      <c r="S72" s="11"/>
      <c r="T72" s="33"/>
    </row>
    <row r="73" spans="1:20" ht="30" hidden="1">
      <c r="A73" s="9">
        <v>72</v>
      </c>
      <c r="B73" s="5">
        <v>2024</v>
      </c>
      <c r="C73" s="5"/>
      <c r="D73" s="9">
        <v>2</v>
      </c>
      <c r="E73" s="9"/>
      <c r="F73" s="9">
        <v>7</v>
      </c>
      <c r="G73" s="9" t="s">
        <v>32</v>
      </c>
      <c r="H73" s="9" t="s">
        <v>32</v>
      </c>
      <c r="I73" s="12" t="s">
        <v>131</v>
      </c>
      <c r="J73" s="9" t="s">
        <v>40</v>
      </c>
      <c r="K73" s="9"/>
      <c r="L73" s="9">
        <v>7</v>
      </c>
      <c r="M73" s="31">
        <v>45579</v>
      </c>
      <c r="N73" s="9" t="s">
        <v>25</v>
      </c>
      <c r="O73" s="9">
        <v>31389</v>
      </c>
      <c r="P73" s="9">
        <v>799210</v>
      </c>
      <c r="Q73" s="9"/>
      <c r="R73" s="9"/>
      <c r="S73" s="12"/>
      <c r="T73" s="5"/>
    </row>
    <row r="74" spans="1:20" ht="30" hidden="1">
      <c r="A74" s="9">
        <v>73</v>
      </c>
      <c r="B74" s="5">
        <v>2024</v>
      </c>
      <c r="C74" s="5"/>
      <c r="D74" s="5">
        <v>2</v>
      </c>
      <c r="E74" s="5"/>
      <c r="F74" s="5">
        <v>6</v>
      </c>
      <c r="G74" s="5" t="s">
        <v>32</v>
      </c>
      <c r="H74" s="5" t="s">
        <v>32</v>
      </c>
      <c r="I74" s="11" t="s">
        <v>132</v>
      </c>
      <c r="J74" s="5" t="s">
        <v>40</v>
      </c>
      <c r="K74" s="9"/>
      <c r="L74" s="9">
        <v>7</v>
      </c>
      <c r="M74" s="15">
        <v>45555</v>
      </c>
      <c r="N74" s="9" t="s">
        <v>25</v>
      </c>
      <c r="O74" s="5">
        <v>26887</v>
      </c>
      <c r="P74" s="11" t="s">
        <v>133</v>
      </c>
      <c r="Q74" s="11"/>
      <c r="R74" s="5"/>
      <c r="S74" s="11"/>
      <c r="T74" s="5"/>
    </row>
    <row r="75" spans="1:20" s="34" customFormat="1" ht="30" hidden="1">
      <c r="A75" s="5">
        <v>74</v>
      </c>
      <c r="B75" s="5">
        <v>2024</v>
      </c>
      <c r="C75" s="11"/>
      <c r="D75" s="12">
        <v>2</v>
      </c>
      <c r="E75" s="12"/>
      <c r="F75" s="12">
        <v>7</v>
      </c>
      <c r="G75" s="12" t="s">
        <v>32</v>
      </c>
      <c r="H75" s="12" t="s">
        <v>32</v>
      </c>
      <c r="I75" s="12" t="s">
        <v>134</v>
      </c>
      <c r="J75" s="12" t="s">
        <v>40</v>
      </c>
      <c r="K75" s="12"/>
      <c r="L75" s="9">
        <v>11</v>
      </c>
      <c r="M75" s="14">
        <v>45579</v>
      </c>
      <c r="N75" s="9" t="s">
        <v>25</v>
      </c>
      <c r="O75" s="12">
        <v>34431</v>
      </c>
      <c r="P75" s="12">
        <v>799295</v>
      </c>
      <c r="Q75" s="12"/>
      <c r="R75" s="12">
        <v>3</v>
      </c>
      <c r="S75" s="12" t="s">
        <v>35</v>
      </c>
      <c r="T75" s="9"/>
    </row>
    <row r="76" spans="1:20" hidden="1">
      <c r="A76" s="9">
        <v>75</v>
      </c>
      <c r="B76" s="5">
        <v>2024</v>
      </c>
      <c r="C76" s="5"/>
      <c r="D76" s="5">
        <v>1</v>
      </c>
      <c r="E76" s="5"/>
      <c r="F76" s="5">
        <v>7</v>
      </c>
      <c r="G76" s="5" t="s">
        <v>32</v>
      </c>
      <c r="H76" s="5" t="s">
        <v>32</v>
      </c>
      <c r="I76" s="11" t="s">
        <v>135</v>
      </c>
      <c r="J76" s="5" t="s">
        <v>40</v>
      </c>
      <c r="K76" s="9"/>
      <c r="L76" s="9">
        <v>8</v>
      </c>
      <c r="M76" s="15">
        <v>45582</v>
      </c>
      <c r="N76" s="9" t="s">
        <v>25</v>
      </c>
      <c r="O76" s="5">
        <v>32567</v>
      </c>
      <c r="P76" s="5"/>
      <c r="Q76" s="5"/>
      <c r="R76" s="5"/>
      <c r="S76" s="11"/>
      <c r="T76" s="33" t="s">
        <v>136</v>
      </c>
    </row>
    <row r="77" spans="1:20" ht="30" hidden="1">
      <c r="A77" s="9">
        <v>76</v>
      </c>
      <c r="B77" s="5">
        <v>2024</v>
      </c>
      <c r="C77" s="5"/>
      <c r="D77" s="5">
        <v>2</v>
      </c>
      <c r="E77" s="5"/>
      <c r="F77" s="5">
        <v>7</v>
      </c>
      <c r="G77" s="5" t="s">
        <v>22</v>
      </c>
      <c r="H77" s="5" t="s">
        <v>22</v>
      </c>
      <c r="I77" s="11" t="s">
        <v>137</v>
      </c>
      <c r="J77" s="5" t="s">
        <v>24</v>
      </c>
      <c r="K77" s="9"/>
      <c r="L77" s="9">
        <v>9</v>
      </c>
      <c r="M77" s="15">
        <v>45586</v>
      </c>
      <c r="N77" s="9" t="s">
        <v>25</v>
      </c>
      <c r="O77" s="5">
        <v>32731</v>
      </c>
      <c r="P77" s="5">
        <v>800584</v>
      </c>
      <c r="Q77" s="5"/>
      <c r="R77" s="5">
        <v>3</v>
      </c>
      <c r="S77" s="11" t="s">
        <v>138</v>
      </c>
      <c r="T77" s="33"/>
    </row>
    <row r="78" spans="1:20" hidden="1">
      <c r="A78" s="5">
        <v>77</v>
      </c>
      <c r="B78" s="5">
        <v>2024</v>
      </c>
      <c r="C78" s="5" t="s">
        <v>139</v>
      </c>
      <c r="D78" s="5">
        <v>3</v>
      </c>
      <c r="E78" s="5"/>
      <c r="F78" s="5">
        <v>7</v>
      </c>
      <c r="G78" s="5" t="s">
        <v>32</v>
      </c>
      <c r="H78" s="5" t="s">
        <v>32</v>
      </c>
      <c r="I78" s="11" t="s">
        <v>140</v>
      </c>
      <c r="J78" s="5" t="s">
        <v>40</v>
      </c>
      <c r="K78" s="9"/>
      <c r="L78" s="36">
        <v>10</v>
      </c>
      <c r="M78" s="15">
        <v>45586</v>
      </c>
      <c r="N78" s="9" t="s">
        <v>25</v>
      </c>
      <c r="O78" s="5">
        <v>32779</v>
      </c>
      <c r="P78" s="5"/>
      <c r="Q78" s="5"/>
      <c r="R78" s="5">
        <v>2</v>
      </c>
      <c r="S78" s="11" t="s">
        <v>35</v>
      </c>
      <c r="T78" s="33"/>
    </row>
    <row r="79" spans="1:20" hidden="1">
      <c r="A79" s="9">
        <v>78</v>
      </c>
      <c r="B79" s="5">
        <v>2024</v>
      </c>
      <c r="C79" s="5"/>
      <c r="D79" s="5">
        <v>2</v>
      </c>
      <c r="E79" s="5"/>
      <c r="F79" s="5">
        <v>8</v>
      </c>
      <c r="G79" s="5" t="s">
        <v>32</v>
      </c>
      <c r="H79" s="5" t="s">
        <v>32</v>
      </c>
      <c r="I79" s="11" t="s">
        <v>141</v>
      </c>
      <c r="J79" s="5" t="s">
        <v>40</v>
      </c>
      <c r="K79" s="9"/>
      <c r="L79" s="9">
        <v>8</v>
      </c>
      <c r="M79" s="15">
        <v>45607</v>
      </c>
      <c r="N79" s="9" t="s">
        <v>25</v>
      </c>
      <c r="O79" s="5">
        <v>36058</v>
      </c>
      <c r="P79" s="5">
        <v>804843</v>
      </c>
      <c r="Q79" s="5"/>
      <c r="R79" s="5">
        <v>1</v>
      </c>
      <c r="S79" s="11" t="s">
        <v>35</v>
      </c>
      <c r="T79" s="33"/>
    </row>
    <row r="80" spans="1:20" hidden="1">
      <c r="A80" s="9">
        <v>79</v>
      </c>
      <c r="B80" s="5">
        <v>2024</v>
      </c>
      <c r="C80" s="5"/>
      <c r="D80" s="5">
        <v>2</v>
      </c>
      <c r="E80" s="5"/>
      <c r="F80" s="5">
        <v>7</v>
      </c>
      <c r="G80" s="5" t="s">
        <v>41</v>
      </c>
      <c r="H80" s="5" t="s">
        <v>142</v>
      </c>
      <c r="I80" s="11" t="s">
        <v>109</v>
      </c>
      <c r="J80" s="5" t="s">
        <v>24</v>
      </c>
      <c r="K80" s="9"/>
      <c r="L80" s="9">
        <v>8</v>
      </c>
      <c r="M80" s="15">
        <v>45588</v>
      </c>
      <c r="N80" s="9" t="s">
        <v>25</v>
      </c>
      <c r="O80" s="5">
        <v>33088</v>
      </c>
      <c r="P80" s="5">
        <v>801024</v>
      </c>
      <c r="Q80" s="5"/>
      <c r="R80" s="5"/>
      <c r="S80" s="11"/>
      <c r="T80" s="33"/>
    </row>
    <row r="81" spans="1:20" ht="30" hidden="1">
      <c r="A81" s="5">
        <v>80</v>
      </c>
      <c r="B81" s="5">
        <v>2024</v>
      </c>
      <c r="C81" s="5"/>
      <c r="D81" s="5">
        <v>2</v>
      </c>
      <c r="E81" s="5"/>
      <c r="F81" s="5">
        <v>8</v>
      </c>
      <c r="G81" s="5" t="s">
        <v>26</v>
      </c>
      <c r="H81" s="5" t="s">
        <v>26</v>
      </c>
      <c r="I81" s="11" t="s">
        <v>143</v>
      </c>
      <c r="J81" s="5" t="s">
        <v>40</v>
      </c>
      <c r="K81" s="9"/>
      <c r="L81" s="9">
        <v>8</v>
      </c>
      <c r="M81" s="5"/>
      <c r="N81" s="9" t="s">
        <v>25</v>
      </c>
      <c r="O81" s="5">
        <v>36353</v>
      </c>
      <c r="P81" s="11" t="s">
        <v>144</v>
      </c>
      <c r="Q81" s="11"/>
      <c r="R81" s="5"/>
      <c r="S81" s="11"/>
      <c r="T81" s="33" t="s">
        <v>145</v>
      </c>
    </row>
    <row r="82" spans="1:20" hidden="1">
      <c r="A82" s="9">
        <v>81</v>
      </c>
      <c r="B82" s="5">
        <v>2024</v>
      </c>
      <c r="C82" s="5"/>
      <c r="D82" s="5">
        <v>2</v>
      </c>
      <c r="E82" s="5"/>
      <c r="F82" s="5">
        <v>8</v>
      </c>
      <c r="G82" s="5" t="s">
        <v>41</v>
      </c>
      <c r="H82" s="5" t="s">
        <v>146</v>
      </c>
      <c r="I82" s="11" t="s">
        <v>147</v>
      </c>
      <c r="J82" s="5" t="s">
        <v>24</v>
      </c>
      <c r="K82" s="9"/>
      <c r="L82" s="9">
        <v>8</v>
      </c>
      <c r="M82" s="5"/>
      <c r="N82" s="9" t="s">
        <v>25</v>
      </c>
      <c r="O82" s="5">
        <v>36755</v>
      </c>
      <c r="P82" s="5">
        <v>806521</v>
      </c>
      <c r="Q82" s="5"/>
      <c r="R82" s="5"/>
      <c r="S82" s="11"/>
      <c r="T82" s="33" t="s">
        <v>145</v>
      </c>
    </row>
    <row r="83" spans="1:20" hidden="1">
      <c r="A83" s="9">
        <v>82</v>
      </c>
      <c r="B83" s="5">
        <v>2024</v>
      </c>
      <c r="C83" s="5"/>
      <c r="D83" s="5">
        <v>2</v>
      </c>
      <c r="E83" s="5"/>
      <c r="F83" s="5">
        <v>8</v>
      </c>
      <c r="G83" s="5" t="s">
        <v>32</v>
      </c>
      <c r="H83" s="5" t="s">
        <v>32</v>
      </c>
      <c r="I83" s="11" t="s">
        <v>148</v>
      </c>
      <c r="J83" s="5" t="s">
        <v>24</v>
      </c>
      <c r="K83" s="9"/>
      <c r="L83" s="9">
        <v>9</v>
      </c>
      <c r="M83" s="5"/>
      <c r="N83" s="9" t="s">
        <v>25</v>
      </c>
      <c r="O83" s="5">
        <v>36790</v>
      </c>
      <c r="P83" s="5">
        <v>806527</v>
      </c>
      <c r="Q83" s="5"/>
      <c r="R83" s="5">
        <v>3</v>
      </c>
      <c r="S83" s="11" t="s">
        <v>119</v>
      </c>
      <c r="T83" s="33"/>
    </row>
    <row r="84" spans="1:20" hidden="1">
      <c r="A84" s="5">
        <v>83</v>
      </c>
      <c r="B84" s="5">
        <v>2024</v>
      </c>
      <c r="C84" s="5"/>
      <c r="D84" s="5">
        <v>2</v>
      </c>
      <c r="E84" s="5"/>
      <c r="F84" s="5">
        <v>8</v>
      </c>
      <c r="G84" s="5" t="s">
        <v>32</v>
      </c>
      <c r="H84" s="5" t="s">
        <v>32</v>
      </c>
      <c r="I84" s="11" t="s">
        <v>149</v>
      </c>
      <c r="J84" s="5" t="s">
        <v>40</v>
      </c>
      <c r="K84" s="9"/>
      <c r="L84" s="9">
        <v>9</v>
      </c>
      <c r="M84" s="5"/>
      <c r="N84" s="9" t="s">
        <v>25</v>
      </c>
      <c r="O84" s="5">
        <v>38627</v>
      </c>
      <c r="P84" s="5">
        <v>808559</v>
      </c>
      <c r="Q84" s="5"/>
      <c r="R84" s="5">
        <v>30</v>
      </c>
      <c r="S84" s="11" t="s">
        <v>96</v>
      </c>
      <c r="T84" s="33"/>
    </row>
    <row r="85" spans="1:20" hidden="1">
      <c r="A85" s="9">
        <v>84</v>
      </c>
      <c r="B85" s="5">
        <v>2024</v>
      </c>
      <c r="C85" s="5"/>
      <c r="D85" s="5">
        <v>2</v>
      </c>
      <c r="E85" s="5"/>
      <c r="F85" s="5">
        <v>8</v>
      </c>
      <c r="G85" s="5" t="s">
        <v>22</v>
      </c>
      <c r="H85" s="5" t="s">
        <v>150</v>
      </c>
      <c r="I85" s="11" t="s">
        <v>151</v>
      </c>
      <c r="J85" s="5" t="s">
        <v>40</v>
      </c>
      <c r="K85" s="9"/>
      <c r="L85" s="9">
        <v>9</v>
      </c>
      <c r="M85" s="5"/>
      <c r="N85" s="9" t="s">
        <v>25</v>
      </c>
      <c r="O85" s="5">
        <v>38632</v>
      </c>
      <c r="P85" s="5">
        <v>808564</v>
      </c>
      <c r="Q85" s="5"/>
      <c r="R85" s="5">
        <v>2</v>
      </c>
      <c r="S85" s="11" t="s">
        <v>96</v>
      </c>
      <c r="T85" s="33"/>
    </row>
    <row r="86" spans="1:20" hidden="1">
      <c r="A86" s="9">
        <v>85</v>
      </c>
      <c r="B86" s="5">
        <v>2024</v>
      </c>
      <c r="C86" s="5"/>
      <c r="D86" s="5">
        <v>2</v>
      </c>
      <c r="E86" s="5"/>
      <c r="F86" s="5">
        <v>9</v>
      </c>
      <c r="G86" s="5" t="s">
        <v>32</v>
      </c>
      <c r="H86" s="5" t="s">
        <v>32</v>
      </c>
      <c r="I86" s="11" t="s">
        <v>152</v>
      </c>
      <c r="J86" s="5" t="s">
        <v>40</v>
      </c>
      <c r="K86" s="9"/>
      <c r="L86" s="9">
        <v>9</v>
      </c>
      <c r="M86" s="15">
        <v>45643</v>
      </c>
      <c r="N86" s="9" t="s">
        <v>25</v>
      </c>
      <c r="O86" s="5">
        <v>40735</v>
      </c>
      <c r="P86" s="5">
        <v>812028</v>
      </c>
      <c r="Q86" s="5"/>
      <c r="R86" s="5"/>
      <c r="S86" s="11"/>
      <c r="T86" s="33"/>
    </row>
    <row r="87" spans="1:20" hidden="1">
      <c r="A87" s="5">
        <v>86</v>
      </c>
      <c r="B87" s="5">
        <v>2025</v>
      </c>
      <c r="C87" s="5" t="s">
        <v>153</v>
      </c>
      <c r="D87" s="5">
        <v>1</v>
      </c>
      <c r="E87" s="5"/>
      <c r="F87" s="5">
        <v>10</v>
      </c>
      <c r="G87" s="5" t="s">
        <v>32</v>
      </c>
      <c r="H87" s="5" t="s">
        <v>32</v>
      </c>
      <c r="I87" s="11" t="s">
        <v>154</v>
      </c>
      <c r="J87" s="5" t="s">
        <v>24</v>
      </c>
      <c r="K87" s="9"/>
      <c r="L87" s="9">
        <v>10</v>
      </c>
      <c r="M87" s="15">
        <v>45663</v>
      </c>
      <c r="N87" s="9" t="s">
        <v>25</v>
      </c>
      <c r="O87" s="5">
        <v>42378</v>
      </c>
      <c r="P87" s="5">
        <v>814658</v>
      </c>
      <c r="Q87" s="5"/>
      <c r="R87" s="5">
        <v>15</v>
      </c>
      <c r="S87" s="11" t="s">
        <v>96</v>
      </c>
      <c r="T87" s="33" t="s">
        <v>155</v>
      </c>
    </row>
    <row r="88" spans="1:20" hidden="1">
      <c r="A88" s="9">
        <v>87</v>
      </c>
      <c r="B88" s="5">
        <v>2025</v>
      </c>
      <c r="C88" s="5" t="s">
        <v>156</v>
      </c>
      <c r="D88" s="5">
        <v>2</v>
      </c>
      <c r="E88" s="5"/>
      <c r="F88" s="5">
        <v>10</v>
      </c>
      <c r="G88" s="5" t="s">
        <v>32</v>
      </c>
      <c r="H88" s="5" t="s">
        <v>32</v>
      </c>
      <c r="I88" s="11" t="s">
        <v>157</v>
      </c>
      <c r="J88" s="5" t="s">
        <v>40</v>
      </c>
      <c r="K88" s="9"/>
      <c r="L88" s="9">
        <v>10</v>
      </c>
      <c r="M88" s="15">
        <v>45297</v>
      </c>
      <c r="N88" s="9" t="s">
        <v>25</v>
      </c>
      <c r="O88" s="5">
        <v>42607</v>
      </c>
      <c r="P88" s="5">
        <v>814612</v>
      </c>
      <c r="Q88" s="5"/>
      <c r="R88" s="5">
        <v>2</v>
      </c>
      <c r="S88" s="77" t="s">
        <v>35</v>
      </c>
      <c r="T88" s="78"/>
    </row>
    <row r="89" spans="1:20" hidden="1">
      <c r="A89" s="9">
        <v>88</v>
      </c>
      <c r="B89" s="5">
        <v>2025</v>
      </c>
      <c r="C89" s="5"/>
      <c r="D89" s="5">
        <v>2</v>
      </c>
      <c r="E89" s="5"/>
      <c r="F89" s="5">
        <v>10</v>
      </c>
      <c r="G89" s="5" t="s">
        <v>32</v>
      </c>
      <c r="H89" s="5" t="s">
        <v>32</v>
      </c>
      <c r="I89" s="35" t="s">
        <v>158</v>
      </c>
      <c r="J89" s="5" t="s">
        <v>40</v>
      </c>
      <c r="K89" s="9"/>
      <c r="L89" s="9">
        <v>13</v>
      </c>
      <c r="M89" s="15">
        <v>45666</v>
      </c>
      <c r="N89" s="9" t="s">
        <v>25</v>
      </c>
      <c r="O89" s="5">
        <v>45833</v>
      </c>
      <c r="P89" s="11">
        <v>814941</v>
      </c>
      <c r="Q89" s="11" t="s">
        <v>159</v>
      </c>
      <c r="R89" s="5"/>
      <c r="S89" s="11"/>
      <c r="T89" s="5"/>
    </row>
    <row r="90" spans="1:20" hidden="1">
      <c r="A90" s="5">
        <v>89</v>
      </c>
      <c r="B90" s="5">
        <v>2024</v>
      </c>
      <c r="C90" s="5"/>
      <c r="D90" s="5">
        <v>1</v>
      </c>
      <c r="E90" s="5"/>
      <c r="F90" s="5">
        <v>7</v>
      </c>
      <c r="G90" s="5" t="s">
        <v>32</v>
      </c>
      <c r="H90" s="5" t="s">
        <v>32</v>
      </c>
      <c r="I90" s="11" t="s">
        <v>160</v>
      </c>
      <c r="J90" s="5" t="s">
        <v>40</v>
      </c>
      <c r="K90" s="9"/>
      <c r="L90" s="9">
        <v>9</v>
      </c>
      <c r="M90" s="5"/>
      <c r="N90" s="9" t="s">
        <v>25</v>
      </c>
      <c r="O90" s="5"/>
      <c r="P90" s="5"/>
      <c r="Q90" s="5"/>
      <c r="R90" s="5">
        <v>18600</v>
      </c>
      <c r="S90" s="79" t="s">
        <v>96</v>
      </c>
    </row>
    <row r="91" spans="1:20" hidden="1">
      <c r="A91" s="9">
        <v>90</v>
      </c>
      <c r="B91" s="5">
        <v>2025</v>
      </c>
      <c r="C91" s="5" t="s">
        <v>161</v>
      </c>
      <c r="D91" s="5">
        <v>2</v>
      </c>
      <c r="E91" s="5"/>
      <c r="F91" s="5">
        <v>10</v>
      </c>
      <c r="G91" s="5" t="s">
        <v>44</v>
      </c>
      <c r="H91" s="5" t="s">
        <v>44</v>
      </c>
      <c r="I91" s="11" t="s">
        <v>162</v>
      </c>
      <c r="J91" s="5" t="s">
        <v>24</v>
      </c>
      <c r="K91" s="9"/>
      <c r="L91" s="9">
        <v>15</v>
      </c>
      <c r="M91" s="16">
        <v>45673</v>
      </c>
      <c r="N91" s="9" t="s">
        <v>25</v>
      </c>
      <c r="O91" s="5">
        <v>47163</v>
      </c>
      <c r="P91" s="5">
        <v>815690</v>
      </c>
      <c r="Q91" s="5" t="s">
        <v>163</v>
      </c>
      <c r="R91" s="5">
        <v>1</v>
      </c>
      <c r="S91" s="11" t="s">
        <v>164</v>
      </c>
      <c r="T91" s="5" t="s">
        <v>165</v>
      </c>
    </row>
    <row r="92" spans="1:20" hidden="1">
      <c r="A92" s="9">
        <v>91</v>
      </c>
      <c r="B92" s="5">
        <v>2025</v>
      </c>
      <c r="C92" s="5" t="s">
        <v>166</v>
      </c>
      <c r="D92" s="5">
        <v>2</v>
      </c>
      <c r="E92" s="5"/>
      <c r="F92" s="5">
        <v>10</v>
      </c>
      <c r="G92" s="5" t="s">
        <v>41</v>
      </c>
      <c r="H92" s="5" t="s">
        <v>167</v>
      </c>
      <c r="I92" s="11" t="s">
        <v>168</v>
      </c>
      <c r="J92" s="5" t="s">
        <v>24</v>
      </c>
      <c r="K92" s="9"/>
      <c r="L92" s="9">
        <v>12</v>
      </c>
      <c r="M92" s="16">
        <v>45312</v>
      </c>
      <c r="N92" s="9" t="s">
        <v>25</v>
      </c>
      <c r="O92" s="5">
        <v>47555</v>
      </c>
      <c r="P92" s="5">
        <v>816378</v>
      </c>
      <c r="Q92" s="5" t="s">
        <v>169</v>
      </c>
      <c r="R92" s="5">
        <v>5</v>
      </c>
      <c r="S92" s="12" t="s">
        <v>119</v>
      </c>
    </row>
    <row r="93" spans="1:20" hidden="1">
      <c r="A93" s="5">
        <v>92</v>
      </c>
      <c r="B93" s="5">
        <v>2025</v>
      </c>
      <c r="C93" s="5"/>
      <c r="D93" s="5">
        <v>2</v>
      </c>
      <c r="E93" s="5"/>
      <c r="F93" s="5">
        <v>10</v>
      </c>
      <c r="G93" s="5" t="s">
        <v>32</v>
      </c>
      <c r="H93" s="5" t="s">
        <v>32</v>
      </c>
      <c r="I93" s="11" t="s">
        <v>170</v>
      </c>
      <c r="J93" s="5" t="s">
        <v>40</v>
      </c>
      <c r="K93" s="9"/>
      <c r="L93" s="9">
        <v>11</v>
      </c>
      <c r="M93" s="15">
        <v>45678</v>
      </c>
      <c r="N93" s="9" t="s">
        <v>25</v>
      </c>
      <c r="O93" s="5">
        <v>47601</v>
      </c>
      <c r="P93" s="11">
        <v>816401</v>
      </c>
      <c r="Q93" s="11"/>
      <c r="R93" s="5">
        <v>2</v>
      </c>
      <c r="S93" s="11" t="s">
        <v>96</v>
      </c>
    </row>
    <row r="94" spans="1:20" ht="30" hidden="1">
      <c r="A94" s="9">
        <v>93</v>
      </c>
      <c r="B94" s="5">
        <v>2025</v>
      </c>
      <c r="C94" s="5"/>
      <c r="D94" s="5">
        <v>2</v>
      </c>
      <c r="E94" s="5"/>
      <c r="F94" s="5">
        <v>10</v>
      </c>
      <c r="G94" s="5" t="s">
        <v>26</v>
      </c>
      <c r="H94" s="5" t="s">
        <v>26</v>
      </c>
      <c r="I94" s="11" t="s">
        <v>171</v>
      </c>
      <c r="J94" s="5" t="s">
        <v>24</v>
      </c>
      <c r="K94" s="9"/>
      <c r="L94" s="9">
        <v>11</v>
      </c>
      <c r="M94" s="15">
        <v>45678</v>
      </c>
      <c r="N94" s="5" t="s">
        <v>25</v>
      </c>
      <c r="O94" s="5">
        <v>47617</v>
      </c>
      <c r="P94" s="5">
        <v>816427</v>
      </c>
      <c r="Q94" s="5"/>
      <c r="R94" s="5">
        <v>2</v>
      </c>
      <c r="S94" s="11" t="s">
        <v>35</v>
      </c>
    </row>
    <row r="95" spans="1:20" hidden="1">
      <c r="A95" s="9">
        <v>94</v>
      </c>
      <c r="B95" s="5">
        <v>2025</v>
      </c>
      <c r="C95" s="5" t="s">
        <v>153</v>
      </c>
      <c r="D95" s="5">
        <v>2</v>
      </c>
      <c r="E95" s="5"/>
      <c r="F95" s="5">
        <v>10</v>
      </c>
      <c r="G95" s="5" t="s">
        <v>32</v>
      </c>
      <c r="H95" s="5" t="s">
        <v>32</v>
      </c>
      <c r="I95" s="11" t="s">
        <v>172</v>
      </c>
      <c r="J95" s="5" t="s">
        <v>24</v>
      </c>
      <c r="K95" s="9"/>
      <c r="L95" s="9">
        <v>10</v>
      </c>
      <c r="M95" s="5"/>
      <c r="N95" s="5" t="s">
        <v>25</v>
      </c>
      <c r="O95" s="5">
        <v>47960</v>
      </c>
      <c r="P95" s="5"/>
      <c r="Q95" s="5"/>
      <c r="R95" s="5">
        <v>3</v>
      </c>
      <c r="S95" s="11" t="s">
        <v>96</v>
      </c>
      <c r="T95" s="21" t="s">
        <v>173</v>
      </c>
    </row>
    <row r="96" spans="1:20" ht="30" hidden="1">
      <c r="A96" s="5">
        <v>95</v>
      </c>
      <c r="B96" s="5">
        <v>2025</v>
      </c>
      <c r="C96" s="5"/>
      <c r="D96" s="5">
        <v>3</v>
      </c>
      <c r="E96" s="5"/>
      <c r="F96" s="5">
        <v>10</v>
      </c>
      <c r="G96" s="5" t="s">
        <v>32</v>
      </c>
      <c r="H96" s="5" t="s">
        <v>32</v>
      </c>
      <c r="I96" s="11" t="s">
        <v>174</v>
      </c>
      <c r="J96" s="5" t="s">
        <v>40</v>
      </c>
      <c r="K96" s="9"/>
      <c r="L96" s="9">
        <v>11</v>
      </c>
      <c r="M96" s="15">
        <v>45680</v>
      </c>
      <c r="N96" s="5" t="s">
        <v>25</v>
      </c>
      <c r="O96" s="5">
        <v>47968</v>
      </c>
      <c r="P96" s="11">
        <v>816701</v>
      </c>
      <c r="Q96" s="11"/>
      <c r="R96" s="5"/>
      <c r="S96" s="11"/>
    </row>
    <row r="97" spans="1:22" hidden="1">
      <c r="A97" s="9">
        <v>96</v>
      </c>
      <c r="B97" s="5">
        <v>2025</v>
      </c>
      <c r="C97" s="5"/>
      <c r="D97" s="5">
        <v>2</v>
      </c>
      <c r="E97" s="5"/>
      <c r="F97" s="5">
        <v>10</v>
      </c>
      <c r="G97" s="5" t="s">
        <v>32</v>
      </c>
      <c r="H97" s="5" t="s">
        <v>37</v>
      </c>
      <c r="I97" s="11" t="s">
        <v>175</v>
      </c>
      <c r="J97" s="5" t="s">
        <v>24</v>
      </c>
      <c r="K97" s="9"/>
      <c r="L97" s="9">
        <v>11</v>
      </c>
      <c r="M97" s="16">
        <v>45684</v>
      </c>
      <c r="N97" s="5" t="s">
        <v>25</v>
      </c>
      <c r="O97" s="5"/>
      <c r="P97" s="5"/>
      <c r="Q97" s="5"/>
      <c r="R97" s="5"/>
      <c r="S97" s="11"/>
      <c r="T97" s="21" t="s">
        <v>176</v>
      </c>
    </row>
    <row r="98" spans="1:22" hidden="1">
      <c r="A98" s="9">
        <v>97</v>
      </c>
      <c r="B98" s="5">
        <v>2025</v>
      </c>
      <c r="C98" s="5"/>
      <c r="D98" s="5">
        <v>3</v>
      </c>
      <c r="E98" s="5"/>
      <c r="F98" s="5">
        <v>10</v>
      </c>
      <c r="G98" s="5" t="s">
        <v>32</v>
      </c>
      <c r="H98" s="5" t="s">
        <v>32</v>
      </c>
      <c r="I98" s="11" t="s">
        <v>177</v>
      </c>
      <c r="J98" s="5" t="s">
        <v>40</v>
      </c>
      <c r="K98" s="9"/>
      <c r="L98" s="9">
        <v>11</v>
      </c>
      <c r="M98" s="15">
        <v>45684</v>
      </c>
      <c r="N98" s="5" t="s">
        <v>25</v>
      </c>
      <c r="O98" s="5">
        <v>48391</v>
      </c>
      <c r="P98" s="5">
        <v>817129</v>
      </c>
      <c r="Q98" s="5"/>
      <c r="R98" s="5"/>
      <c r="S98" s="11"/>
    </row>
    <row r="99" spans="1:22" ht="30" hidden="1">
      <c r="A99" s="5">
        <v>98</v>
      </c>
      <c r="B99" s="5">
        <v>2025</v>
      </c>
      <c r="C99" s="5" t="s">
        <v>178</v>
      </c>
      <c r="D99" s="5">
        <v>2</v>
      </c>
      <c r="E99" s="5"/>
      <c r="F99" s="5">
        <v>11</v>
      </c>
      <c r="G99" s="5" t="s">
        <v>32</v>
      </c>
      <c r="H99" s="5" t="s">
        <v>26</v>
      </c>
      <c r="I99" s="11" t="s">
        <v>179</v>
      </c>
      <c r="J99" s="5" t="s">
        <v>40</v>
      </c>
      <c r="K99" s="9"/>
      <c r="L99" s="9">
        <v>12</v>
      </c>
      <c r="M99" s="15">
        <v>45692</v>
      </c>
      <c r="N99" s="5" t="s">
        <v>25</v>
      </c>
      <c r="O99" s="5">
        <v>51132</v>
      </c>
      <c r="P99" s="5">
        <v>818142</v>
      </c>
      <c r="Q99" s="5" t="s">
        <v>169</v>
      </c>
      <c r="R99" s="5">
        <v>8</v>
      </c>
      <c r="S99" s="11" t="s">
        <v>119</v>
      </c>
    </row>
    <row r="100" spans="1:22" ht="30" hidden="1">
      <c r="A100" s="9">
        <v>99</v>
      </c>
      <c r="B100" s="5">
        <v>2025</v>
      </c>
      <c r="C100" s="5"/>
      <c r="D100" s="5">
        <v>1</v>
      </c>
      <c r="E100" s="5"/>
      <c r="F100" s="5">
        <v>11</v>
      </c>
      <c r="G100" s="5" t="s">
        <v>32</v>
      </c>
      <c r="H100" s="5" t="s">
        <v>32</v>
      </c>
      <c r="I100" s="11" t="s">
        <v>180</v>
      </c>
      <c r="J100" s="5" t="s">
        <v>24</v>
      </c>
      <c r="K100" s="9"/>
      <c r="L100" s="9">
        <v>11</v>
      </c>
      <c r="M100" s="16">
        <v>45692</v>
      </c>
      <c r="N100" s="5" t="s">
        <v>25</v>
      </c>
      <c r="O100" s="5">
        <v>51206</v>
      </c>
      <c r="P100" s="5">
        <v>818067</v>
      </c>
      <c r="Q100" s="5"/>
      <c r="R100" s="11" t="s">
        <v>181</v>
      </c>
      <c r="S100" s="11" t="s">
        <v>182</v>
      </c>
    </row>
    <row r="101" spans="1:22" ht="30" hidden="1">
      <c r="A101" s="9">
        <v>100</v>
      </c>
      <c r="B101" s="82">
        <v>2025</v>
      </c>
      <c r="C101" s="82" t="s">
        <v>156</v>
      </c>
      <c r="D101" s="82">
        <v>3</v>
      </c>
      <c r="E101" s="82"/>
      <c r="F101" s="82">
        <v>10</v>
      </c>
      <c r="G101" s="82" t="s">
        <v>44</v>
      </c>
      <c r="H101" s="82" t="s">
        <v>44</v>
      </c>
      <c r="I101" s="77" t="s">
        <v>183</v>
      </c>
      <c r="J101" s="82" t="s">
        <v>184</v>
      </c>
      <c r="K101" s="83"/>
      <c r="L101" s="83">
        <v>10</v>
      </c>
      <c r="M101" s="16"/>
      <c r="N101" s="82" t="s">
        <v>25</v>
      </c>
      <c r="O101" s="82">
        <v>30775</v>
      </c>
      <c r="P101" s="82"/>
      <c r="Q101" s="82"/>
      <c r="R101" s="82">
        <v>3</v>
      </c>
      <c r="S101" s="77" t="s">
        <v>96</v>
      </c>
    </row>
    <row r="102" spans="1:22" ht="30" hidden="1">
      <c r="A102" s="5">
        <v>101</v>
      </c>
      <c r="B102" s="5">
        <v>2025</v>
      </c>
      <c r="C102" s="5"/>
      <c r="D102" s="5">
        <v>1</v>
      </c>
      <c r="E102" s="5"/>
      <c r="F102" s="5">
        <v>11</v>
      </c>
      <c r="G102" s="5" t="s">
        <v>32</v>
      </c>
      <c r="H102" s="5" t="s">
        <v>32</v>
      </c>
      <c r="I102" s="11" t="s">
        <v>185</v>
      </c>
      <c r="J102" s="5" t="s">
        <v>24</v>
      </c>
      <c r="K102" s="5">
        <v>15</v>
      </c>
      <c r="L102" s="5"/>
      <c r="N102" s="5" t="s">
        <v>186</v>
      </c>
      <c r="O102" s="5">
        <v>53673</v>
      </c>
      <c r="P102" s="5"/>
      <c r="Q102" s="5" t="s">
        <v>187</v>
      </c>
      <c r="R102" s="5">
        <v>45</v>
      </c>
      <c r="S102" s="11" t="s">
        <v>96</v>
      </c>
      <c r="T102" s="22" t="s">
        <v>188</v>
      </c>
      <c r="U102" s="21">
        <v>750</v>
      </c>
      <c r="V102" s="21" t="s">
        <v>32</v>
      </c>
    </row>
    <row r="103" spans="1:22" hidden="1">
      <c r="A103" s="9">
        <v>102</v>
      </c>
      <c r="B103" s="9">
        <v>2025</v>
      </c>
      <c r="C103" s="9" t="s">
        <v>189</v>
      </c>
      <c r="D103" s="9">
        <v>2</v>
      </c>
      <c r="E103" s="9"/>
      <c r="F103" s="9">
        <v>10</v>
      </c>
      <c r="G103" s="9" t="s">
        <v>32</v>
      </c>
      <c r="H103" s="9" t="s">
        <v>32</v>
      </c>
      <c r="I103" s="12" t="s">
        <v>190</v>
      </c>
      <c r="J103" s="9" t="s">
        <v>40</v>
      </c>
      <c r="K103" s="9"/>
      <c r="L103" s="37">
        <v>11</v>
      </c>
      <c r="M103" s="5"/>
      <c r="N103" s="9" t="s">
        <v>25</v>
      </c>
      <c r="O103" s="9">
        <v>48391</v>
      </c>
      <c r="P103" s="9"/>
      <c r="Q103" s="9"/>
      <c r="R103" s="9"/>
      <c r="S103" s="12"/>
    </row>
    <row r="104" spans="1:22" hidden="1">
      <c r="A104" s="9">
        <v>103</v>
      </c>
      <c r="B104" s="5">
        <v>2025</v>
      </c>
      <c r="C104" s="5" t="s">
        <v>166</v>
      </c>
      <c r="D104" s="5">
        <v>2</v>
      </c>
      <c r="E104" s="5"/>
      <c r="F104" s="5">
        <v>11</v>
      </c>
      <c r="G104" s="5" t="s">
        <v>26</v>
      </c>
      <c r="H104" s="5" t="s">
        <v>26</v>
      </c>
      <c r="I104" s="11" t="s">
        <v>191</v>
      </c>
      <c r="J104" s="5" t="s">
        <v>24</v>
      </c>
      <c r="K104" s="9"/>
      <c r="L104" s="37">
        <v>12</v>
      </c>
      <c r="M104" s="5"/>
      <c r="N104" s="5" t="s">
        <v>25</v>
      </c>
      <c r="O104" s="5">
        <v>53432</v>
      </c>
      <c r="P104" s="5">
        <v>820103</v>
      </c>
      <c r="Q104" s="5" t="s">
        <v>169</v>
      </c>
      <c r="R104" s="5">
        <v>2</v>
      </c>
      <c r="S104" s="11" t="s">
        <v>96</v>
      </c>
    </row>
    <row r="105" spans="1:22" ht="30" hidden="1">
      <c r="A105" s="5">
        <v>104</v>
      </c>
      <c r="B105" s="5">
        <v>2025</v>
      </c>
      <c r="C105" s="5" t="s">
        <v>192</v>
      </c>
      <c r="D105" s="5">
        <v>2</v>
      </c>
      <c r="E105" s="5"/>
      <c r="F105" s="5">
        <v>12</v>
      </c>
      <c r="G105" s="5" t="s">
        <v>32</v>
      </c>
      <c r="H105" s="5" t="s">
        <v>32</v>
      </c>
      <c r="I105" s="11" t="s">
        <v>193</v>
      </c>
      <c r="J105" s="5" t="s">
        <v>40</v>
      </c>
      <c r="K105" s="9"/>
      <c r="L105" s="37">
        <v>12</v>
      </c>
      <c r="M105" s="5"/>
      <c r="N105" s="5" t="s">
        <v>25</v>
      </c>
      <c r="O105" s="5">
        <v>56737</v>
      </c>
      <c r="P105" s="5">
        <v>821728</v>
      </c>
      <c r="Q105" s="5" t="s">
        <v>194</v>
      </c>
      <c r="R105" s="5">
        <v>3</v>
      </c>
      <c r="S105" s="77" t="s">
        <v>96</v>
      </c>
    </row>
    <row r="106" spans="1:22" hidden="1">
      <c r="A106" s="9">
        <v>105</v>
      </c>
      <c r="B106" s="5">
        <v>2025</v>
      </c>
      <c r="C106" s="5" t="s">
        <v>195</v>
      </c>
      <c r="D106" s="5">
        <v>2</v>
      </c>
      <c r="E106" s="5"/>
      <c r="F106" s="5">
        <v>12</v>
      </c>
      <c r="G106" s="5" t="s">
        <v>32</v>
      </c>
      <c r="H106" s="5" t="s">
        <v>32</v>
      </c>
      <c r="I106" s="11" t="s">
        <v>196</v>
      </c>
      <c r="J106" s="5" t="s">
        <v>40</v>
      </c>
      <c r="K106" s="9"/>
      <c r="L106" s="37">
        <v>13</v>
      </c>
      <c r="M106" s="5"/>
      <c r="N106" s="5" t="s">
        <v>25</v>
      </c>
      <c r="O106" s="5">
        <v>56977</v>
      </c>
      <c r="P106" s="5">
        <v>823747</v>
      </c>
      <c r="Q106" s="11" t="s">
        <v>197</v>
      </c>
      <c r="R106" s="38">
        <v>5</v>
      </c>
      <c r="S106" s="11" t="s">
        <v>35</v>
      </c>
      <c r="T106" s="5"/>
    </row>
    <row r="107" spans="1:22" ht="30" hidden="1">
      <c r="A107" s="9">
        <v>106</v>
      </c>
      <c r="B107" s="82">
        <v>2025</v>
      </c>
      <c r="C107" s="82" t="s">
        <v>192</v>
      </c>
      <c r="D107" s="82">
        <v>2</v>
      </c>
      <c r="E107" s="82"/>
      <c r="F107" s="82">
        <v>13</v>
      </c>
      <c r="G107" s="82" t="s">
        <v>32</v>
      </c>
      <c r="H107" s="82" t="s">
        <v>32</v>
      </c>
      <c r="I107" s="77" t="s">
        <v>198</v>
      </c>
      <c r="J107" s="82" t="s">
        <v>24</v>
      </c>
      <c r="K107" s="83"/>
      <c r="L107" s="84">
        <v>12</v>
      </c>
      <c r="M107" s="5"/>
      <c r="N107" s="82" t="s">
        <v>25</v>
      </c>
      <c r="O107" s="82">
        <v>59274</v>
      </c>
      <c r="P107" s="82">
        <v>824852</v>
      </c>
      <c r="Q107" s="82" t="s">
        <v>194</v>
      </c>
      <c r="R107" s="77" t="s">
        <v>199</v>
      </c>
      <c r="S107" s="79" t="s">
        <v>200</v>
      </c>
    </row>
    <row r="108" spans="1:22" hidden="1">
      <c r="A108" s="5">
        <v>107</v>
      </c>
      <c r="B108" s="5">
        <v>2025</v>
      </c>
      <c r="C108" s="5" t="s">
        <v>161</v>
      </c>
      <c r="D108" s="5">
        <v>2</v>
      </c>
      <c r="E108" s="5"/>
      <c r="F108" s="5">
        <v>13</v>
      </c>
      <c r="G108" s="5" t="s">
        <v>32</v>
      </c>
      <c r="H108" s="5" t="s">
        <v>62</v>
      </c>
      <c r="I108" s="11" t="s">
        <v>201</v>
      </c>
      <c r="J108" s="5" t="s">
        <v>24</v>
      </c>
      <c r="K108" s="5">
        <v>15</v>
      </c>
      <c r="L108" s="5"/>
      <c r="N108" s="5" t="s">
        <v>186</v>
      </c>
      <c r="O108" s="5">
        <v>62119</v>
      </c>
      <c r="P108" s="5">
        <v>826829</v>
      </c>
      <c r="Q108" s="5" t="s">
        <v>187</v>
      </c>
      <c r="R108" s="5">
        <v>10</v>
      </c>
      <c r="S108" s="11" t="s">
        <v>96</v>
      </c>
      <c r="T108" s="22" t="s">
        <v>202</v>
      </c>
      <c r="U108" s="21">
        <v>2</v>
      </c>
      <c r="V108" s="21" t="s">
        <v>32</v>
      </c>
    </row>
    <row r="109" spans="1:22" hidden="1">
      <c r="A109" s="9">
        <v>108</v>
      </c>
      <c r="B109" s="9">
        <v>2025</v>
      </c>
      <c r="C109" s="9" t="s">
        <v>203</v>
      </c>
      <c r="D109" s="9">
        <v>2</v>
      </c>
      <c r="E109" s="9"/>
      <c r="F109" s="9">
        <v>13</v>
      </c>
      <c r="G109" s="9" t="s">
        <v>32</v>
      </c>
      <c r="H109" s="9" t="s">
        <v>32</v>
      </c>
      <c r="I109" s="12" t="s">
        <v>204</v>
      </c>
      <c r="J109" s="9" t="s">
        <v>24</v>
      </c>
      <c r="K109" s="9"/>
      <c r="L109" s="9">
        <v>15</v>
      </c>
      <c r="M109" s="5"/>
      <c r="N109" s="9" t="s">
        <v>25</v>
      </c>
      <c r="O109" s="9">
        <v>62129</v>
      </c>
      <c r="P109" s="9">
        <v>826837</v>
      </c>
      <c r="Q109" s="9" t="s">
        <v>205</v>
      </c>
      <c r="R109" s="9">
        <v>20</v>
      </c>
      <c r="S109" s="12" t="s">
        <v>96</v>
      </c>
      <c r="T109" s="5"/>
    </row>
    <row r="110" spans="1:22" hidden="1">
      <c r="A110" s="9">
        <v>109</v>
      </c>
      <c r="B110" s="9">
        <v>2025</v>
      </c>
      <c r="C110" s="9"/>
      <c r="D110" s="5">
        <v>2</v>
      </c>
      <c r="E110" s="5"/>
      <c r="F110" s="5">
        <v>13</v>
      </c>
      <c r="G110" s="5" t="s">
        <v>29</v>
      </c>
      <c r="H110" s="5" t="s">
        <v>29</v>
      </c>
      <c r="I110" s="11" t="s">
        <v>206</v>
      </c>
      <c r="J110" s="5" t="s">
        <v>40</v>
      </c>
      <c r="K110" s="9"/>
      <c r="L110" s="37">
        <v>14</v>
      </c>
      <c r="M110" s="5"/>
      <c r="N110" s="5" t="s">
        <v>25</v>
      </c>
      <c r="O110" s="5">
        <v>62573</v>
      </c>
      <c r="P110" s="5">
        <v>827347</v>
      </c>
      <c r="Q110" s="5" t="s">
        <v>207</v>
      </c>
      <c r="R110" s="5">
        <v>2</v>
      </c>
      <c r="S110" s="11" t="s">
        <v>96</v>
      </c>
      <c r="T110" s="5"/>
    </row>
    <row r="111" spans="1:22" ht="30" hidden="1">
      <c r="A111" s="5">
        <v>110</v>
      </c>
      <c r="B111" s="5">
        <v>2025</v>
      </c>
      <c r="C111" s="5"/>
      <c r="D111" s="5">
        <v>2</v>
      </c>
      <c r="E111" s="5"/>
      <c r="F111" s="5">
        <v>13</v>
      </c>
      <c r="G111" s="5" t="s">
        <v>32</v>
      </c>
      <c r="H111" s="5" t="s">
        <v>32</v>
      </c>
      <c r="I111" s="11" t="s">
        <v>208</v>
      </c>
      <c r="J111" s="5" t="s">
        <v>40</v>
      </c>
      <c r="K111" s="9"/>
      <c r="L111" s="37">
        <v>14</v>
      </c>
      <c r="M111" s="5"/>
      <c r="N111" s="5" t="s">
        <v>25</v>
      </c>
      <c r="O111" s="5">
        <v>63483</v>
      </c>
      <c r="P111" s="5">
        <v>827870</v>
      </c>
      <c r="Q111" s="5" t="s">
        <v>197</v>
      </c>
      <c r="R111" s="5">
        <v>4</v>
      </c>
      <c r="S111" s="11" t="s">
        <v>119</v>
      </c>
      <c r="T111" s="5"/>
    </row>
    <row r="112" spans="1:22" ht="30" hidden="1">
      <c r="A112" s="9">
        <v>111</v>
      </c>
      <c r="B112" s="5">
        <v>2025</v>
      </c>
      <c r="C112" s="5" t="s">
        <v>209</v>
      </c>
      <c r="D112" s="5">
        <v>3</v>
      </c>
      <c r="E112" s="5"/>
      <c r="F112" s="5">
        <v>14</v>
      </c>
      <c r="G112" s="5" t="s">
        <v>32</v>
      </c>
      <c r="H112" s="5" t="s">
        <v>32</v>
      </c>
      <c r="I112" s="11" t="s">
        <v>210</v>
      </c>
      <c r="J112" s="5" t="s">
        <v>40</v>
      </c>
      <c r="K112" s="9">
        <v>18</v>
      </c>
      <c r="L112" s="9">
        <v>18</v>
      </c>
      <c r="M112" s="5"/>
      <c r="N112" s="5" t="s">
        <v>25</v>
      </c>
      <c r="O112" s="5">
        <v>64689</v>
      </c>
      <c r="P112" s="5">
        <v>828952</v>
      </c>
      <c r="Q112" s="5" t="s">
        <v>211</v>
      </c>
      <c r="R112" s="5">
        <v>1</v>
      </c>
      <c r="S112" s="11" t="s">
        <v>35</v>
      </c>
      <c r="T112" s="5"/>
      <c r="U112" s="21">
        <v>2</v>
      </c>
      <c r="V112" s="21" t="s">
        <v>32</v>
      </c>
    </row>
    <row r="113" spans="1:22" hidden="1">
      <c r="A113" s="9">
        <v>112</v>
      </c>
      <c r="B113" s="82">
        <v>2025</v>
      </c>
      <c r="C113" s="82"/>
      <c r="D113" s="82">
        <v>2</v>
      </c>
      <c r="E113" s="82" t="s">
        <v>212</v>
      </c>
      <c r="F113" s="82">
        <v>14</v>
      </c>
      <c r="G113" s="82" t="s">
        <v>32</v>
      </c>
      <c r="H113" s="82" t="s">
        <v>32</v>
      </c>
      <c r="I113" s="77" t="s">
        <v>213</v>
      </c>
      <c r="J113" s="82" t="s">
        <v>24</v>
      </c>
      <c r="K113" s="83">
        <v>14</v>
      </c>
      <c r="L113" s="83">
        <v>20</v>
      </c>
      <c r="M113" s="5"/>
      <c r="N113" s="82" t="s">
        <v>25</v>
      </c>
      <c r="O113" s="82">
        <v>64815</v>
      </c>
      <c r="P113" s="82">
        <v>829097</v>
      </c>
      <c r="Q113" s="82" t="s">
        <v>211</v>
      </c>
      <c r="R113" s="82">
        <v>2</v>
      </c>
      <c r="S113" s="77" t="s">
        <v>96</v>
      </c>
      <c r="T113" s="5"/>
      <c r="U113" s="21">
        <v>10</v>
      </c>
      <c r="V113" s="21" t="s">
        <v>32</v>
      </c>
    </row>
    <row r="114" spans="1:22" hidden="1">
      <c r="A114" s="5">
        <v>113</v>
      </c>
      <c r="B114" s="5">
        <v>2025</v>
      </c>
      <c r="C114" s="5" t="s">
        <v>161</v>
      </c>
      <c r="D114" s="5">
        <v>2</v>
      </c>
      <c r="E114" s="5"/>
      <c r="F114" s="5">
        <v>14</v>
      </c>
      <c r="G114" s="5" t="s">
        <v>62</v>
      </c>
      <c r="H114" s="5" t="s">
        <v>214</v>
      </c>
      <c r="I114" s="11" t="s">
        <v>215</v>
      </c>
      <c r="J114" s="5" t="s">
        <v>24</v>
      </c>
      <c r="K114" s="5">
        <v>15</v>
      </c>
      <c r="L114" s="5">
        <v>15</v>
      </c>
      <c r="N114" s="5" t="s">
        <v>194</v>
      </c>
      <c r="O114" s="5">
        <v>67335</v>
      </c>
      <c r="P114" s="5">
        <v>831165</v>
      </c>
      <c r="Q114" s="5" t="s">
        <v>216</v>
      </c>
      <c r="R114" s="5">
        <v>24</v>
      </c>
      <c r="S114" s="11" t="s">
        <v>217</v>
      </c>
      <c r="T114" s="22"/>
    </row>
    <row r="115" spans="1:22" hidden="1">
      <c r="A115" s="9">
        <v>114</v>
      </c>
      <c r="B115" s="9">
        <v>2025</v>
      </c>
      <c r="C115" s="9"/>
      <c r="D115" s="9">
        <v>2</v>
      </c>
      <c r="E115" s="9"/>
      <c r="F115" s="9">
        <v>14</v>
      </c>
      <c r="G115" s="9" t="s">
        <v>32</v>
      </c>
      <c r="H115" s="9" t="s">
        <v>32</v>
      </c>
      <c r="I115" s="12" t="s">
        <v>218</v>
      </c>
      <c r="J115" s="9" t="s">
        <v>40</v>
      </c>
      <c r="K115" s="9"/>
      <c r="L115" s="9">
        <v>16</v>
      </c>
      <c r="M115" s="5"/>
      <c r="N115" s="9" t="s">
        <v>25</v>
      </c>
      <c r="O115" s="39">
        <v>67417</v>
      </c>
      <c r="P115" s="9">
        <v>831220</v>
      </c>
      <c r="Q115" s="9" t="s">
        <v>219</v>
      </c>
      <c r="R115" s="9">
        <v>10</v>
      </c>
      <c r="S115" s="12" t="s">
        <v>96</v>
      </c>
      <c r="T115" s="5"/>
    </row>
    <row r="116" spans="1:22" hidden="1">
      <c r="A116" s="9">
        <v>115</v>
      </c>
      <c r="B116" s="5">
        <v>2025</v>
      </c>
      <c r="C116" s="5" t="s">
        <v>161</v>
      </c>
      <c r="D116" s="5">
        <v>2</v>
      </c>
      <c r="E116" s="5"/>
      <c r="F116" s="5">
        <v>14</v>
      </c>
      <c r="G116" s="5" t="s">
        <v>32</v>
      </c>
      <c r="H116" s="5" t="s">
        <v>32</v>
      </c>
      <c r="I116" s="11" t="s">
        <v>220</v>
      </c>
      <c r="J116" s="5" t="s">
        <v>24</v>
      </c>
      <c r="K116" s="9"/>
      <c r="L116" s="9">
        <v>15</v>
      </c>
      <c r="M116" s="5"/>
      <c r="N116" s="5" t="s">
        <v>25</v>
      </c>
      <c r="O116" s="5">
        <v>67782</v>
      </c>
      <c r="P116" s="5">
        <v>831818</v>
      </c>
      <c r="Q116" s="5" t="s">
        <v>221</v>
      </c>
      <c r="R116" s="5">
        <v>2</v>
      </c>
      <c r="S116" s="11" t="s">
        <v>96</v>
      </c>
      <c r="T116" s="5" t="s">
        <v>165</v>
      </c>
    </row>
    <row r="117" spans="1:22" hidden="1">
      <c r="A117" s="5">
        <v>116</v>
      </c>
      <c r="B117" s="5">
        <v>2025</v>
      </c>
      <c r="C117" s="5" t="s">
        <v>161</v>
      </c>
      <c r="D117" s="5">
        <v>2</v>
      </c>
      <c r="E117" s="5"/>
      <c r="F117" s="5">
        <v>14</v>
      </c>
      <c r="G117" s="5" t="s">
        <v>32</v>
      </c>
      <c r="H117" s="5" t="s">
        <v>32</v>
      </c>
      <c r="I117" s="11" t="s">
        <v>222</v>
      </c>
      <c r="J117" s="5" t="s">
        <v>24</v>
      </c>
      <c r="K117" s="9"/>
      <c r="L117" s="9">
        <v>15</v>
      </c>
      <c r="M117" s="5"/>
      <c r="N117" s="5" t="s">
        <v>25</v>
      </c>
      <c r="O117" s="5">
        <v>67785</v>
      </c>
      <c r="P117" s="5">
        <v>831818</v>
      </c>
      <c r="Q117" s="5" t="s">
        <v>221</v>
      </c>
      <c r="R117" s="5">
        <v>1</v>
      </c>
      <c r="S117" s="11" t="s">
        <v>164</v>
      </c>
      <c r="T117" s="5"/>
    </row>
    <row r="118" spans="1:22" hidden="1">
      <c r="A118" s="9">
        <v>117</v>
      </c>
      <c r="B118" s="5">
        <v>2025</v>
      </c>
      <c r="C118" s="5" t="s">
        <v>223</v>
      </c>
      <c r="D118" s="5">
        <v>2</v>
      </c>
      <c r="E118" s="5"/>
      <c r="F118" s="5">
        <v>14</v>
      </c>
      <c r="G118" s="5" t="s">
        <v>32</v>
      </c>
      <c r="H118" s="5" t="s">
        <v>32</v>
      </c>
      <c r="I118" s="11" t="s">
        <v>224</v>
      </c>
      <c r="J118" s="5" t="s">
        <v>40</v>
      </c>
      <c r="K118" s="9"/>
      <c r="L118" s="9">
        <v>15</v>
      </c>
      <c r="M118" s="5"/>
      <c r="N118" s="5" t="s">
        <v>25</v>
      </c>
      <c r="O118" s="5">
        <v>67783</v>
      </c>
      <c r="P118" s="5">
        <v>831821</v>
      </c>
      <c r="Q118" s="5" t="s">
        <v>197</v>
      </c>
      <c r="R118" s="5">
        <v>5</v>
      </c>
      <c r="S118" s="11" t="s">
        <v>96</v>
      </c>
      <c r="T118" s="5" t="s">
        <v>165</v>
      </c>
    </row>
    <row r="119" spans="1:22" hidden="1">
      <c r="A119" s="9">
        <v>118</v>
      </c>
      <c r="B119" s="5">
        <v>2025</v>
      </c>
      <c r="C119" s="5" t="s">
        <v>223</v>
      </c>
      <c r="D119" s="5">
        <v>2</v>
      </c>
      <c r="E119" s="5"/>
      <c r="F119" s="5">
        <v>14</v>
      </c>
      <c r="G119" s="5" t="s">
        <v>26</v>
      </c>
      <c r="H119" s="5" t="s">
        <v>26</v>
      </c>
      <c r="I119" s="11" t="s">
        <v>225</v>
      </c>
      <c r="J119" s="5" t="s">
        <v>24</v>
      </c>
      <c r="K119" s="9"/>
      <c r="L119" s="9">
        <v>15</v>
      </c>
      <c r="M119" s="5"/>
      <c r="N119" s="5" t="s">
        <v>25</v>
      </c>
      <c r="O119" s="5">
        <v>68135</v>
      </c>
      <c r="P119" s="5">
        <v>832187</v>
      </c>
      <c r="Q119" s="5" t="s">
        <v>226</v>
      </c>
      <c r="R119" s="5">
        <v>1</v>
      </c>
      <c r="S119" s="11" t="s">
        <v>164</v>
      </c>
      <c r="T119" s="5"/>
    </row>
    <row r="120" spans="1:22" hidden="1">
      <c r="A120" s="5">
        <v>119</v>
      </c>
      <c r="B120" s="5">
        <v>2025</v>
      </c>
      <c r="C120" s="5" t="s">
        <v>161</v>
      </c>
      <c r="D120" s="5">
        <v>2</v>
      </c>
      <c r="E120" s="5"/>
      <c r="F120" s="5">
        <v>14</v>
      </c>
      <c r="G120" s="5" t="s">
        <v>32</v>
      </c>
      <c r="H120" s="5" t="s">
        <v>227</v>
      </c>
      <c r="I120" s="5" t="s">
        <v>228</v>
      </c>
      <c r="J120" s="5" t="s">
        <v>40</v>
      </c>
      <c r="K120" s="9"/>
      <c r="L120" s="9">
        <v>15</v>
      </c>
      <c r="M120" s="5"/>
      <c r="N120" s="5" t="s">
        <v>25</v>
      </c>
      <c r="O120" s="5">
        <v>69054</v>
      </c>
      <c r="P120" s="5">
        <v>833035</v>
      </c>
      <c r="Q120" s="5" t="s">
        <v>229</v>
      </c>
      <c r="R120" s="5">
        <v>3</v>
      </c>
      <c r="S120" s="5" t="s">
        <v>96</v>
      </c>
      <c r="T120" s="5" t="s">
        <v>165</v>
      </c>
    </row>
    <row r="121" spans="1:22" hidden="1">
      <c r="A121" s="9">
        <v>120</v>
      </c>
      <c r="B121" s="5">
        <v>2025</v>
      </c>
      <c r="C121" s="5"/>
      <c r="D121" s="5">
        <v>2</v>
      </c>
      <c r="E121" s="5"/>
      <c r="F121" s="5">
        <v>15</v>
      </c>
      <c r="G121" s="5" t="s">
        <v>37</v>
      </c>
      <c r="H121" s="5" t="s">
        <v>37</v>
      </c>
      <c r="I121" s="11" t="s">
        <v>230</v>
      </c>
      <c r="J121" s="5" t="s">
        <v>24</v>
      </c>
      <c r="K121" s="9"/>
      <c r="L121" s="9">
        <v>15</v>
      </c>
      <c r="M121" s="5"/>
      <c r="N121" s="5" t="s">
        <v>25</v>
      </c>
      <c r="O121" s="5">
        <v>69208</v>
      </c>
      <c r="P121" s="5">
        <v>833181</v>
      </c>
      <c r="Q121" s="5" t="s">
        <v>231</v>
      </c>
      <c r="R121" s="5">
        <v>2</v>
      </c>
      <c r="S121" s="11" t="s">
        <v>96</v>
      </c>
      <c r="T121" s="5"/>
    </row>
    <row r="122" spans="1:22" hidden="1">
      <c r="A122" s="9">
        <v>121</v>
      </c>
      <c r="B122" s="5">
        <v>2025</v>
      </c>
      <c r="C122" s="5" t="s">
        <v>161</v>
      </c>
      <c r="D122" s="5">
        <v>2</v>
      </c>
      <c r="E122" s="5"/>
      <c r="F122" s="5">
        <v>15</v>
      </c>
      <c r="G122" s="5" t="s">
        <v>32</v>
      </c>
      <c r="H122" s="5" t="s">
        <v>32</v>
      </c>
      <c r="I122" s="11" t="s">
        <v>232</v>
      </c>
      <c r="J122" s="5" t="s">
        <v>24</v>
      </c>
      <c r="K122" s="9"/>
      <c r="L122" s="9">
        <v>15</v>
      </c>
      <c r="M122" s="5"/>
      <c r="N122" s="5" t="s">
        <v>25</v>
      </c>
      <c r="O122" s="5">
        <v>72284</v>
      </c>
      <c r="P122" s="5">
        <v>834484</v>
      </c>
      <c r="Q122" s="5" t="s">
        <v>233</v>
      </c>
      <c r="R122" s="5">
        <v>2</v>
      </c>
      <c r="S122" s="11" t="s">
        <v>96</v>
      </c>
      <c r="T122" s="5" t="s">
        <v>165</v>
      </c>
    </row>
    <row r="123" spans="1:22" hidden="1">
      <c r="A123" s="5">
        <v>122</v>
      </c>
      <c r="B123" s="5">
        <v>2025</v>
      </c>
      <c r="C123" s="5"/>
      <c r="D123" s="5">
        <v>2</v>
      </c>
      <c r="E123" s="5"/>
      <c r="F123" s="5">
        <v>15</v>
      </c>
      <c r="G123" s="5" t="s">
        <v>44</v>
      </c>
      <c r="H123" s="5" t="s">
        <v>44</v>
      </c>
      <c r="I123" s="11" t="s">
        <v>234</v>
      </c>
      <c r="J123" s="5" t="s">
        <v>24</v>
      </c>
      <c r="K123" s="9"/>
      <c r="L123" s="9">
        <v>16</v>
      </c>
      <c r="M123" s="5"/>
      <c r="N123" s="5" t="s">
        <v>25</v>
      </c>
      <c r="O123" s="5">
        <v>74140</v>
      </c>
      <c r="P123" s="5">
        <v>836169</v>
      </c>
      <c r="Q123" s="5" t="s">
        <v>235</v>
      </c>
      <c r="R123" s="5">
        <v>2</v>
      </c>
      <c r="S123" s="11" t="s">
        <v>96</v>
      </c>
      <c r="T123" s="5"/>
    </row>
    <row r="124" spans="1:22" hidden="1">
      <c r="A124" s="9">
        <v>123</v>
      </c>
      <c r="B124" s="5">
        <v>2025</v>
      </c>
      <c r="C124" s="5" t="s">
        <v>223</v>
      </c>
      <c r="D124" s="5">
        <v>2</v>
      </c>
      <c r="E124" s="5"/>
      <c r="F124" s="5">
        <v>15</v>
      </c>
      <c r="G124" s="5" t="s">
        <v>44</v>
      </c>
      <c r="H124" s="5" t="s">
        <v>44</v>
      </c>
      <c r="I124" s="11" t="s">
        <v>236</v>
      </c>
      <c r="J124" s="5" t="s">
        <v>24</v>
      </c>
      <c r="K124" s="9"/>
      <c r="L124" s="9">
        <v>15</v>
      </c>
      <c r="M124" s="5"/>
      <c r="N124" s="5" t="s">
        <v>25</v>
      </c>
      <c r="O124" s="5">
        <v>74330</v>
      </c>
      <c r="P124" s="5"/>
      <c r="Q124" s="5" t="s">
        <v>237</v>
      </c>
      <c r="R124" s="5">
        <v>1</v>
      </c>
      <c r="S124" s="11" t="s">
        <v>164</v>
      </c>
      <c r="T124" s="5"/>
    </row>
    <row r="125" spans="1:22" hidden="1">
      <c r="A125" s="9">
        <v>124</v>
      </c>
      <c r="B125" s="5">
        <v>2025</v>
      </c>
      <c r="C125" s="5"/>
      <c r="D125" s="5">
        <v>2</v>
      </c>
      <c r="E125" s="5"/>
      <c r="F125" s="5">
        <v>16</v>
      </c>
      <c r="G125" s="5" t="s">
        <v>32</v>
      </c>
      <c r="H125" s="5" t="s">
        <v>62</v>
      </c>
      <c r="I125" s="11" t="s">
        <v>238</v>
      </c>
      <c r="J125" s="5" t="s">
        <v>24</v>
      </c>
      <c r="K125" s="9"/>
      <c r="L125" s="9">
        <v>16</v>
      </c>
      <c r="M125" s="5"/>
      <c r="N125" s="5" t="s">
        <v>25</v>
      </c>
      <c r="O125" s="5">
        <v>74925</v>
      </c>
      <c r="P125" s="5">
        <v>836837</v>
      </c>
      <c r="Q125" s="5" t="s">
        <v>211</v>
      </c>
      <c r="R125" s="5">
        <v>10</v>
      </c>
      <c r="S125" s="11" t="s">
        <v>119</v>
      </c>
      <c r="T125" s="5"/>
    </row>
    <row r="126" spans="1:22" hidden="1">
      <c r="A126" s="5">
        <v>125</v>
      </c>
      <c r="B126" s="5">
        <v>2025</v>
      </c>
      <c r="C126" s="5"/>
      <c r="D126" s="5">
        <v>2</v>
      </c>
      <c r="E126" s="5"/>
      <c r="F126" s="5">
        <v>16</v>
      </c>
      <c r="G126" s="5" t="s">
        <v>37</v>
      </c>
      <c r="H126" s="5" t="s">
        <v>214</v>
      </c>
      <c r="I126" s="11" t="s">
        <v>239</v>
      </c>
      <c r="J126" s="5" t="s">
        <v>40</v>
      </c>
      <c r="K126" s="5"/>
      <c r="L126" s="5">
        <v>16</v>
      </c>
      <c r="N126" s="5" t="s">
        <v>25</v>
      </c>
      <c r="O126" s="75">
        <v>75151</v>
      </c>
      <c r="P126" s="5">
        <v>837017</v>
      </c>
      <c r="Q126" s="5" t="s">
        <v>240</v>
      </c>
      <c r="R126" s="5">
        <v>5</v>
      </c>
      <c r="S126" s="11" t="s">
        <v>96</v>
      </c>
      <c r="T126" s="5"/>
    </row>
    <row r="127" spans="1:22" ht="30" hidden="1">
      <c r="A127" s="9">
        <v>126</v>
      </c>
      <c r="B127" s="5">
        <v>2025</v>
      </c>
      <c r="C127" s="5"/>
      <c r="D127" s="5">
        <v>2</v>
      </c>
      <c r="E127" s="5"/>
      <c r="F127" s="5">
        <v>16</v>
      </c>
      <c r="G127" s="5" t="s">
        <v>32</v>
      </c>
      <c r="H127" s="5" t="s">
        <v>227</v>
      </c>
      <c r="I127" s="11" t="s">
        <v>241</v>
      </c>
      <c r="J127" s="5" t="s">
        <v>40</v>
      </c>
      <c r="K127" s="5"/>
      <c r="L127" s="5">
        <v>16</v>
      </c>
      <c r="N127" s="5" t="s">
        <v>25</v>
      </c>
      <c r="O127" s="76">
        <v>77184</v>
      </c>
      <c r="P127" s="5">
        <v>837600</v>
      </c>
      <c r="Q127" s="5" t="s">
        <v>242</v>
      </c>
      <c r="R127" s="11" t="s">
        <v>243</v>
      </c>
      <c r="S127" s="11" t="s">
        <v>96</v>
      </c>
      <c r="T127" s="5"/>
      <c r="U127" s="21">
        <v>700</v>
      </c>
      <c r="V127" s="21" t="s">
        <v>244</v>
      </c>
    </row>
    <row r="128" spans="1:22" hidden="1">
      <c r="A128" s="9">
        <v>127</v>
      </c>
      <c r="B128" s="5">
        <v>2025</v>
      </c>
      <c r="C128" s="5" t="s">
        <v>245</v>
      </c>
      <c r="D128" s="5">
        <v>2</v>
      </c>
      <c r="E128" s="5"/>
      <c r="F128" s="5">
        <v>16</v>
      </c>
      <c r="G128" s="5" t="s">
        <v>32</v>
      </c>
      <c r="H128" s="5" t="s">
        <v>32</v>
      </c>
      <c r="I128" s="11" t="s">
        <v>246</v>
      </c>
      <c r="J128" s="5" t="s">
        <v>24</v>
      </c>
      <c r="K128" s="5"/>
      <c r="L128" s="5">
        <v>16</v>
      </c>
      <c r="N128" s="5" t="s">
        <v>25</v>
      </c>
      <c r="O128" s="5">
        <v>77915</v>
      </c>
      <c r="P128" s="5">
        <v>837884</v>
      </c>
      <c r="Q128" s="5" t="s">
        <v>242</v>
      </c>
      <c r="R128" s="5">
        <v>7</v>
      </c>
      <c r="S128" s="11" t="s">
        <v>96</v>
      </c>
      <c r="T128" s="5"/>
    </row>
    <row r="129" spans="1:22" hidden="1">
      <c r="A129" s="5">
        <v>128</v>
      </c>
      <c r="B129" s="5">
        <v>2025</v>
      </c>
      <c r="C129" s="5"/>
      <c r="D129" s="5">
        <v>2</v>
      </c>
      <c r="E129" s="5"/>
      <c r="F129" s="5">
        <v>16</v>
      </c>
      <c r="G129" s="5" t="s">
        <v>32</v>
      </c>
      <c r="H129" s="5" t="s">
        <v>32</v>
      </c>
      <c r="I129" s="11" t="s">
        <v>247</v>
      </c>
      <c r="J129" s="5" t="s">
        <v>40</v>
      </c>
      <c r="K129" s="5"/>
      <c r="L129" s="5">
        <v>16</v>
      </c>
      <c r="M129" s="21"/>
      <c r="N129" s="5" t="s">
        <v>25</v>
      </c>
      <c r="O129" s="5">
        <v>78320</v>
      </c>
      <c r="P129" s="5">
        <v>838536</v>
      </c>
      <c r="Q129" s="5" t="s">
        <v>219</v>
      </c>
      <c r="R129" s="11">
        <v>2</v>
      </c>
      <c r="S129" s="11" t="s">
        <v>96</v>
      </c>
      <c r="T129" s="5"/>
      <c r="U129" s="21">
        <v>700</v>
      </c>
      <c r="V129" s="21" t="s">
        <v>244</v>
      </c>
    </row>
    <row r="130" spans="1:22" hidden="1">
      <c r="A130" s="9">
        <v>129</v>
      </c>
      <c r="B130" s="9">
        <v>2025</v>
      </c>
      <c r="C130" s="9" t="s">
        <v>248</v>
      </c>
      <c r="D130" s="9">
        <v>1</v>
      </c>
      <c r="E130" s="9"/>
      <c r="F130" s="9">
        <v>15</v>
      </c>
      <c r="G130" s="9" t="s">
        <v>41</v>
      </c>
      <c r="H130" s="9" t="s">
        <v>227</v>
      </c>
      <c r="I130" s="11" t="s">
        <v>249</v>
      </c>
      <c r="J130" s="9"/>
      <c r="K130" s="9"/>
      <c r="L130" s="9">
        <v>15</v>
      </c>
      <c r="M130" s="21"/>
      <c r="N130" s="9" t="s">
        <v>25</v>
      </c>
      <c r="O130" s="9">
        <v>75151</v>
      </c>
      <c r="P130" s="9"/>
      <c r="Q130" s="9"/>
      <c r="R130" s="9">
        <v>4</v>
      </c>
      <c r="S130" s="12" t="s">
        <v>96</v>
      </c>
      <c r="T130" s="9"/>
    </row>
    <row r="131" spans="1:22" hidden="1">
      <c r="A131" s="9">
        <v>130</v>
      </c>
      <c r="B131" s="5">
        <v>2025</v>
      </c>
      <c r="C131" s="5"/>
      <c r="D131" s="5">
        <v>2</v>
      </c>
      <c r="E131" s="5"/>
      <c r="F131" s="5">
        <v>16</v>
      </c>
      <c r="G131" s="5" t="s">
        <v>26</v>
      </c>
      <c r="H131" s="5" t="s">
        <v>26</v>
      </c>
      <c r="I131" s="11" t="s">
        <v>250</v>
      </c>
      <c r="J131" s="5" t="s">
        <v>24</v>
      </c>
      <c r="K131" s="5"/>
      <c r="L131" s="5">
        <v>17</v>
      </c>
      <c r="M131" s="21"/>
      <c r="N131" s="5" t="s">
        <v>25</v>
      </c>
      <c r="O131" s="5">
        <v>80142</v>
      </c>
      <c r="P131" s="5">
        <v>840681</v>
      </c>
      <c r="Q131" s="5" t="s">
        <v>169</v>
      </c>
      <c r="R131" s="5">
        <v>1</v>
      </c>
      <c r="S131" s="11" t="s">
        <v>164</v>
      </c>
      <c r="T131" s="5"/>
    </row>
    <row r="132" spans="1:22" hidden="1">
      <c r="A132" s="5">
        <v>131</v>
      </c>
      <c r="B132" s="5">
        <v>2025</v>
      </c>
      <c r="C132" s="5" t="s">
        <v>245</v>
      </c>
      <c r="D132" s="5">
        <v>2</v>
      </c>
      <c r="E132" s="5"/>
      <c r="F132" s="5">
        <v>16</v>
      </c>
      <c r="G132" s="5" t="s">
        <v>41</v>
      </c>
      <c r="H132" s="5" t="s">
        <v>244</v>
      </c>
      <c r="I132" s="11" t="s">
        <v>251</v>
      </c>
      <c r="J132" s="5" t="s">
        <v>24</v>
      </c>
      <c r="K132" s="5"/>
      <c r="L132" s="5">
        <v>16</v>
      </c>
      <c r="M132" s="21"/>
      <c r="N132" s="5" t="s">
        <v>25</v>
      </c>
      <c r="O132" s="5"/>
      <c r="P132" s="5">
        <v>75682</v>
      </c>
      <c r="Q132" s="5" t="s">
        <v>252</v>
      </c>
      <c r="R132" s="5"/>
      <c r="S132" s="11"/>
      <c r="T132" s="5"/>
    </row>
    <row r="133" spans="1:22" hidden="1">
      <c r="A133" s="9">
        <v>132</v>
      </c>
      <c r="B133" s="5">
        <v>2025</v>
      </c>
      <c r="C133" s="5"/>
      <c r="D133" s="5">
        <v>2</v>
      </c>
      <c r="E133" s="5"/>
      <c r="F133" s="5">
        <v>17</v>
      </c>
      <c r="G133" s="5" t="s">
        <v>41</v>
      </c>
      <c r="H133" s="5" t="s">
        <v>244</v>
      </c>
      <c r="I133" s="11" t="s">
        <v>253</v>
      </c>
      <c r="J133" s="5" t="s">
        <v>24</v>
      </c>
      <c r="K133" s="5"/>
      <c r="L133" s="5">
        <v>17</v>
      </c>
      <c r="M133" s="21"/>
      <c r="N133" s="5" t="s">
        <v>25</v>
      </c>
      <c r="O133" s="5">
        <v>80756</v>
      </c>
      <c r="P133" s="5">
        <v>841218</v>
      </c>
      <c r="Q133" s="5" t="s">
        <v>159</v>
      </c>
      <c r="R133" s="5">
        <v>1</v>
      </c>
      <c r="S133" s="11" t="s">
        <v>164</v>
      </c>
      <c r="T133" s="5"/>
      <c r="U133" s="21">
        <v>700</v>
      </c>
      <c r="V133" s="21" t="s">
        <v>244</v>
      </c>
    </row>
    <row r="134" spans="1:22" hidden="1">
      <c r="A134" s="9">
        <v>133</v>
      </c>
      <c r="B134" s="5">
        <v>2025</v>
      </c>
      <c r="C134" s="5"/>
      <c r="D134" s="5">
        <v>2</v>
      </c>
      <c r="E134" s="5"/>
      <c r="F134" s="5">
        <v>17</v>
      </c>
      <c r="G134" s="5" t="s">
        <v>32</v>
      </c>
      <c r="H134" s="5" t="s">
        <v>32</v>
      </c>
      <c r="I134" s="11" t="s">
        <v>254</v>
      </c>
      <c r="J134" s="5" t="s">
        <v>40</v>
      </c>
      <c r="K134" s="5"/>
      <c r="L134" s="5">
        <v>17</v>
      </c>
      <c r="M134" s="21"/>
      <c r="N134" s="5" t="s">
        <v>25</v>
      </c>
      <c r="O134" s="5">
        <v>80854</v>
      </c>
      <c r="P134" s="5">
        <v>841292</v>
      </c>
      <c r="Q134" s="5" t="s">
        <v>255</v>
      </c>
      <c r="R134" s="5">
        <v>1</v>
      </c>
      <c r="S134" s="11" t="s">
        <v>164</v>
      </c>
      <c r="T134" s="5"/>
      <c r="U134" s="21">
        <v>700</v>
      </c>
      <c r="V134" s="21" t="s">
        <v>244</v>
      </c>
    </row>
    <row r="135" spans="1:22" hidden="1">
      <c r="A135" s="5">
        <v>134</v>
      </c>
      <c r="B135" s="5">
        <v>2025</v>
      </c>
      <c r="C135" s="5"/>
      <c r="D135" s="5">
        <v>2</v>
      </c>
      <c r="E135" s="5"/>
      <c r="F135" s="5">
        <v>17</v>
      </c>
      <c r="G135" s="5" t="s">
        <v>22</v>
      </c>
      <c r="H135" s="5" t="s">
        <v>22</v>
      </c>
      <c r="I135" s="11" t="s">
        <v>256</v>
      </c>
      <c r="J135" s="5" t="s">
        <v>40</v>
      </c>
      <c r="K135" s="5"/>
      <c r="L135" s="5">
        <v>17</v>
      </c>
      <c r="M135" s="21"/>
      <c r="N135" s="5" t="s">
        <v>25</v>
      </c>
      <c r="O135" s="5">
        <v>83035</v>
      </c>
      <c r="P135" s="5">
        <v>842283</v>
      </c>
      <c r="Q135" s="5" t="s">
        <v>257</v>
      </c>
      <c r="R135" s="5">
        <v>1</v>
      </c>
      <c r="S135" s="11" t="s">
        <v>164</v>
      </c>
      <c r="T135" s="5"/>
    </row>
    <row r="136" spans="1:22" hidden="1">
      <c r="A136" s="9">
        <v>135</v>
      </c>
      <c r="B136" s="5">
        <v>2025</v>
      </c>
      <c r="C136" s="5"/>
      <c r="D136" s="5">
        <v>2</v>
      </c>
      <c r="E136" s="5"/>
      <c r="F136" s="5">
        <v>17</v>
      </c>
      <c r="G136" s="5" t="s">
        <v>44</v>
      </c>
      <c r="H136" s="5" t="s">
        <v>258</v>
      </c>
      <c r="I136" s="11" t="s">
        <v>259</v>
      </c>
      <c r="J136" s="5" t="s">
        <v>24</v>
      </c>
      <c r="K136" s="5"/>
      <c r="L136" s="5">
        <v>17</v>
      </c>
      <c r="M136" s="21"/>
      <c r="N136" s="5" t="s">
        <v>25</v>
      </c>
      <c r="O136" s="5"/>
      <c r="P136" s="5"/>
      <c r="Q136" s="5" t="s">
        <v>260</v>
      </c>
      <c r="R136" s="5">
        <v>1</v>
      </c>
      <c r="S136" s="11" t="s">
        <v>164</v>
      </c>
      <c r="T136" s="5"/>
    </row>
    <row r="137" spans="1:22" hidden="1">
      <c r="A137" s="9">
        <v>136</v>
      </c>
      <c r="B137" s="5">
        <v>2025</v>
      </c>
      <c r="C137" s="5" t="s">
        <v>209</v>
      </c>
      <c r="D137" s="5">
        <v>2</v>
      </c>
      <c r="E137" s="5"/>
      <c r="F137" s="5">
        <v>17</v>
      </c>
      <c r="G137" s="5" t="s">
        <v>37</v>
      </c>
      <c r="H137" s="5" t="s">
        <v>227</v>
      </c>
      <c r="I137" s="11" t="s">
        <v>261</v>
      </c>
      <c r="J137" s="5" t="s">
        <v>40</v>
      </c>
      <c r="K137" s="5">
        <v>17</v>
      </c>
      <c r="L137" s="5">
        <v>17</v>
      </c>
      <c r="M137" s="21"/>
      <c r="N137" s="5" t="s">
        <v>25</v>
      </c>
      <c r="O137" s="5">
        <v>85047</v>
      </c>
      <c r="P137" s="11">
        <v>843308</v>
      </c>
      <c r="Q137" s="5" t="s">
        <v>240</v>
      </c>
      <c r="R137" s="5">
        <v>1</v>
      </c>
      <c r="S137" s="11" t="s">
        <v>164</v>
      </c>
      <c r="T137" s="5" t="s">
        <v>165</v>
      </c>
    </row>
    <row r="138" spans="1:22" hidden="1">
      <c r="A138" s="5">
        <v>137</v>
      </c>
      <c r="B138" s="5">
        <v>2025</v>
      </c>
      <c r="C138" s="82"/>
      <c r="D138" s="82">
        <v>2</v>
      </c>
      <c r="E138" s="82"/>
      <c r="F138" s="82">
        <v>17</v>
      </c>
      <c r="G138" s="82" t="s">
        <v>37</v>
      </c>
      <c r="H138" s="82" t="s">
        <v>227</v>
      </c>
      <c r="I138" s="11" t="s">
        <v>262</v>
      </c>
      <c r="J138" s="82" t="s">
        <v>24</v>
      </c>
      <c r="K138" s="82">
        <v>17</v>
      </c>
      <c r="L138" s="82">
        <v>17</v>
      </c>
      <c r="M138" s="21"/>
      <c r="N138" s="82" t="s">
        <v>25</v>
      </c>
      <c r="O138" s="82">
        <v>85299</v>
      </c>
      <c r="P138" s="77">
        <v>843588</v>
      </c>
      <c r="Q138" s="82" t="s">
        <v>263</v>
      </c>
      <c r="R138" s="82">
        <v>1</v>
      </c>
      <c r="S138" s="77" t="s">
        <v>164</v>
      </c>
      <c r="T138" s="5"/>
    </row>
    <row r="139" spans="1:22" hidden="1">
      <c r="A139" s="9">
        <v>138</v>
      </c>
      <c r="B139" s="5">
        <v>2025</v>
      </c>
      <c r="C139" s="5"/>
      <c r="D139" s="5">
        <v>2</v>
      </c>
      <c r="E139" s="5"/>
      <c r="F139" s="5">
        <v>17</v>
      </c>
      <c r="G139" s="5" t="s">
        <v>44</v>
      </c>
      <c r="H139" s="5" t="s">
        <v>258</v>
      </c>
      <c r="I139" s="11" t="s">
        <v>264</v>
      </c>
      <c r="J139" s="5" t="s">
        <v>24</v>
      </c>
      <c r="K139" s="5">
        <v>17</v>
      </c>
      <c r="L139" s="5">
        <v>17</v>
      </c>
      <c r="M139" s="22" t="s">
        <v>25</v>
      </c>
      <c r="N139" s="5" t="s">
        <v>25</v>
      </c>
      <c r="O139" s="5"/>
      <c r="P139" s="11"/>
      <c r="Q139" s="5" t="s">
        <v>260</v>
      </c>
      <c r="R139" s="5"/>
      <c r="S139" s="11"/>
      <c r="T139" s="22"/>
    </row>
    <row r="140" spans="1:22" hidden="1">
      <c r="A140" s="9">
        <v>139</v>
      </c>
      <c r="B140" s="5">
        <v>2025</v>
      </c>
      <c r="C140" s="5"/>
      <c r="D140" s="5">
        <v>2</v>
      </c>
      <c r="E140" s="5"/>
      <c r="F140" s="5">
        <v>19</v>
      </c>
      <c r="G140" s="5" t="s">
        <v>32</v>
      </c>
      <c r="H140" s="5" t="s">
        <v>32</v>
      </c>
      <c r="I140" s="11" t="s">
        <v>265</v>
      </c>
      <c r="J140" s="5" t="s">
        <v>24</v>
      </c>
      <c r="K140" s="5">
        <v>19</v>
      </c>
      <c r="L140" s="5">
        <v>19</v>
      </c>
      <c r="M140" s="21"/>
      <c r="N140" s="5" t="s">
        <v>25</v>
      </c>
      <c r="O140" s="5">
        <v>89394</v>
      </c>
      <c r="P140" s="11">
        <v>848051</v>
      </c>
      <c r="Q140" s="5" t="s">
        <v>266</v>
      </c>
      <c r="R140" s="5">
        <v>5</v>
      </c>
      <c r="S140" s="11" t="s">
        <v>164</v>
      </c>
      <c r="T140" s="22"/>
      <c r="U140" s="21">
        <v>5</v>
      </c>
      <c r="V140" s="21" t="s">
        <v>32</v>
      </c>
    </row>
    <row r="141" spans="1:22" hidden="1">
      <c r="A141" s="5">
        <v>140</v>
      </c>
      <c r="B141" s="5">
        <v>2025</v>
      </c>
      <c r="C141" s="83"/>
      <c r="D141" s="83">
        <v>2</v>
      </c>
      <c r="E141" s="83"/>
      <c r="F141" s="83">
        <v>18</v>
      </c>
      <c r="G141" s="83" t="s">
        <v>32</v>
      </c>
      <c r="H141" s="83" t="s">
        <v>62</v>
      </c>
      <c r="I141" s="11" t="s">
        <v>267</v>
      </c>
      <c r="J141" s="83" t="s">
        <v>40</v>
      </c>
      <c r="K141" s="83">
        <v>18</v>
      </c>
      <c r="L141" s="83">
        <v>18</v>
      </c>
      <c r="M141" s="21"/>
      <c r="N141" s="83" t="s">
        <v>25</v>
      </c>
      <c r="O141" s="83">
        <v>89106</v>
      </c>
      <c r="P141" s="79">
        <v>847385</v>
      </c>
      <c r="Q141" s="83" t="s">
        <v>268</v>
      </c>
      <c r="R141" s="83">
        <v>2</v>
      </c>
      <c r="S141" s="79" t="s">
        <v>96</v>
      </c>
      <c r="T141" s="5"/>
      <c r="U141" s="21">
        <v>700</v>
      </c>
      <c r="V141" s="21" t="s">
        <v>32</v>
      </c>
    </row>
    <row r="142" spans="1:22" ht="30" hidden="1">
      <c r="A142" s="9">
        <v>141</v>
      </c>
      <c r="B142" s="5">
        <v>2025</v>
      </c>
      <c r="C142" s="5"/>
      <c r="D142" s="5">
        <v>3</v>
      </c>
      <c r="E142" s="5"/>
      <c r="F142" s="5">
        <v>19</v>
      </c>
      <c r="G142" s="5" t="s">
        <v>29</v>
      </c>
      <c r="H142" s="5" t="s">
        <v>269</v>
      </c>
      <c r="I142" s="11" t="s">
        <v>270</v>
      </c>
      <c r="J142" s="5" t="s">
        <v>40</v>
      </c>
      <c r="K142" s="5">
        <v>18</v>
      </c>
      <c r="L142" s="5">
        <v>18</v>
      </c>
      <c r="M142" s="21"/>
      <c r="N142" s="5" t="s">
        <v>25</v>
      </c>
      <c r="O142" s="5">
        <v>89464</v>
      </c>
      <c r="P142" s="11">
        <v>848118</v>
      </c>
      <c r="Q142" s="5" t="s">
        <v>271</v>
      </c>
      <c r="R142" s="11" t="s">
        <v>272</v>
      </c>
      <c r="S142" s="11" t="s">
        <v>273</v>
      </c>
      <c r="T142" s="22"/>
      <c r="U142" s="11">
        <v>1</v>
      </c>
      <c r="V142" s="11" t="s">
        <v>41</v>
      </c>
    </row>
    <row r="143" spans="1:22" ht="30" hidden="1">
      <c r="A143" s="9">
        <v>142</v>
      </c>
      <c r="B143" s="5">
        <v>2025</v>
      </c>
      <c r="C143" s="83" t="s">
        <v>209</v>
      </c>
      <c r="D143" s="83">
        <v>2</v>
      </c>
      <c r="E143" s="83"/>
      <c r="F143" s="83">
        <v>17</v>
      </c>
      <c r="G143" s="83" t="s">
        <v>32</v>
      </c>
      <c r="H143" s="83" t="s">
        <v>62</v>
      </c>
      <c r="I143" s="11" t="s">
        <v>274</v>
      </c>
      <c r="J143" s="83" t="s">
        <v>24</v>
      </c>
      <c r="K143" s="83">
        <v>17</v>
      </c>
      <c r="L143" s="83">
        <v>17</v>
      </c>
      <c r="M143" s="21"/>
      <c r="N143" s="83" t="s">
        <v>25</v>
      </c>
      <c r="O143" s="83">
        <v>86608</v>
      </c>
      <c r="P143" s="79"/>
      <c r="Q143" s="83" t="s">
        <v>233</v>
      </c>
      <c r="R143" s="83">
        <v>1</v>
      </c>
      <c r="S143" s="79" t="s">
        <v>164</v>
      </c>
      <c r="T143" s="5"/>
    </row>
    <row r="144" spans="1:22" hidden="1">
      <c r="A144" s="5">
        <v>143</v>
      </c>
      <c r="B144" s="5">
        <v>2025</v>
      </c>
      <c r="C144" s="5" t="s">
        <v>275</v>
      </c>
      <c r="D144" s="5">
        <v>2</v>
      </c>
      <c r="E144" s="5"/>
      <c r="F144" s="5">
        <v>19</v>
      </c>
      <c r="G144" s="5" t="s">
        <v>32</v>
      </c>
      <c r="H144" s="5" t="s">
        <v>244</v>
      </c>
      <c r="I144" s="11" t="s">
        <v>276</v>
      </c>
      <c r="J144" s="5" t="s">
        <v>277</v>
      </c>
      <c r="K144" s="5">
        <v>19</v>
      </c>
      <c r="L144" s="5">
        <v>19</v>
      </c>
      <c r="M144" s="21"/>
      <c r="N144" s="5" t="s">
        <v>25</v>
      </c>
      <c r="O144" s="5">
        <v>90348</v>
      </c>
      <c r="P144" s="11">
        <v>848817</v>
      </c>
      <c r="Q144" s="5" t="s">
        <v>278</v>
      </c>
      <c r="R144" s="5">
        <v>1</v>
      </c>
      <c r="S144" s="11" t="s">
        <v>164</v>
      </c>
      <c r="T144" s="22"/>
      <c r="U144" s="21">
        <v>700</v>
      </c>
      <c r="V144" s="21" t="s">
        <v>32</v>
      </c>
    </row>
    <row r="145" spans="1:22" hidden="1">
      <c r="A145" s="9">
        <v>144</v>
      </c>
      <c r="B145" s="5">
        <v>2025</v>
      </c>
      <c r="C145" s="82"/>
      <c r="D145" s="82">
        <v>2</v>
      </c>
      <c r="E145" s="82"/>
      <c r="F145" s="82">
        <v>19</v>
      </c>
      <c r="G145" s="82" t="s">
        <v>32</v>
      </c>
      <c r="H145" s="82" t="s">
        <v>32</v>
      </c>
      <c r="I145" s="11" t="s">
        <v>279</v>
      </c>
      <c r="J145" s="82" t="s">
        <v>277</v>
      </c>
      <c r="K145" s="82">
        <v>19</v>
      </c>
      <c r="L145" s="82">
        <v>18</v>
      </c>
      <c r="M145" s="21"/>
      <c r="N145" s="82" t="s">
        <v>25</v>
      </c>
      <c r="O145" s="21">
        <v>92310</v>
      </c>
      <c r="P145" s="77">
        <v>849868</v>
      </c>
      <c r="Q145" s="82" t="s">
        <v>280</v>
      </c>
      <c r="R145" s="82">
        <v>1</v>
      </c>
      <c r="S145" s="11" t="s">
        <v>164</v>
      </c>
      <c r="T145" s="26"/>
      <c r="U145" s="21">
        <v>1</v>
      </c>
      <c r="V145" s="21" t="s">
        <v>32</v>
      </c>
    </row>
    <row r="146" spans="1:22" ht="30" hidden="1">
      <c r="A146" s="9">
        <v>145</v>
      </c>
      <c r="B146" s="5">
        <v>2025</v>
      </c>
      <c r="C146" s="5"/>
      <c r="D146" s="5">
        <v>1</v>
      </c>
      <c r="E146" s="5" t="s">
        <v>281</v>
      </c>
      <c r="F146" s="5">
        <v>19</v>
      </c>
      <c r="G146" s="5" t="s">
        <v>32</v>
      </c>
      <c r="H146" s="5" t="s">
        <v>32</v>
      </c>
      <c r="I146" s="11" t="s">
        <v>274</v>
      </c>
      <c r="J146" s="5" t="s">
        <v>24</v>
      </c>
      <c r="K146" s="5">
        <v>19</v>
      </c>
      <c r="L146" s="5">
        <v>20</v>
      </c>
      <c r="M146" s="21"/>
      <c r="N146" s="5" t="s">
        <v>25</v>
      </c>
      <c r="O146" s="5">
        <v>92760</v>
      </c>
      <c r="P146" s="11">
        <v>850397</v>
      </c>
      <c r="Q146" s="5" t="s">
        <v>282</v>
      </c>
      <c r="R146" s="5">
        <v>1</v>
      </c>
      <c r="S146" s="11" t="s">
        <v>164</v>
      </c>
      <c r="T146" s="5"/>
      <c r="U146" s="21">
        <v>20</v>
      </c>
      <c r="V146" s="21" t="s">
        <v>32</v>
      </c>
    </row>
    <row r="147" spans="1:22" hidden="1">
      <c r="A147" s="5">
        <v>146</v>
      </c>
      <c r="B147" s="5">
        <v>2025</v>
      </c>
      <c r="C147" s="5"/>
      <c r="D147" s="5">
        <v>1</v>
      </c>
      <c r="E147" s="5" t="s">
        <v>212</v>
      </c>
      <c r="F147" s="5">
        <v>19</v>
      </c>
      <c r="G147" s="5" t="s">
        <v>22</v>
      </c>
      <c r="H147" s="5" t="s">
        <v>244</v>
      </c>
      <c r="I147" s="11" t="s">
        <v>283</v>
      </c>
      <c r="J147" s="5" t="s">
        <v>24</v>
      </c>
      <c r="K147" s="5">
        <v>19</v>
      </c>
      <c r="L147" s="5">
        <v>20</v>
      </c>
      <c r="M147" s="21"/>
      <c r="N147" s="5" t="s">
        <v>25</v>
      </c>
      <c r="O147" s="5">
        <v>94592</v>
      </c>
      <c r="P147" s="11">
        <v>853037</v>
      </c>
      <c r="Q147" s="5" t="s">
        <v>284</v>
      </c>
      <c r="R147" s="5">
        <v>2</v>
      </c>
      <c r="S147" s="11" t="s">
        <v>96</v>
      </c>
      <c r="T147" s="5"/>
      <c r="U147" s="21">
        <v>5</v>
      </c>
      <c r="V147" s="21" t="s">
        <v>41</v>
      </c>
    </row>
    <row r="148" spans="1:22" hidden="1">
      <c r="A148" s="9">
        <v>147</v>
      </c>
      <c r="B148" s="5">
        <v>2025</v>
      </c>
      <c r="C148" s="5"/>
      <c r="D148" s="5">
        <v>2</v>
      </c>
      <c r="E148" s="5" t="s">
        <v>285</v>
      </c>
      <c r="F148" s="5">
        <v>20</v>
      </c>
      <c r="G148" s="5" t="s">
        <v>29</v>
      </c>
      <c r="H148" s="5" t="s">
        <v>29</v>
      </c>
      <c r="I148" s="11" t="s">
        <v>286</v>
      </c>
      <c r="J148" s="5" t="s">
        <v>277</v>
      </c>
      <c r="K148" s="5">
        <v>19</v>
      </c>
      <c r="L148" s="5">
        <v>20</v>
      </c>
      <c r="M148" s="21"/>
      <c r="N148" s="5" t="s">
        <v>25</v>
      </c>
      <c r="O148" s="5">
        <v>96359</v>
      </c>
      <c r="P148" s="11">
        <v>853074</v>
      </c>
      <c r="Q148" s="5" t="s">
        <v>287</v>
      </c>
      <c r="R148" s="11">
        <v>1</v>
      </c>
      <c r="S148" s="11" t="s">
        <v>96</v>
      </c>
      <c r="T148" s="5"/>
      <c r="U148" s="21">
        <v>72</v>
      </c>
      <c r="V148" s="21" t="s">
        <v>29</v>
      </c>
    </row>
    <row r="149" spans="1:22" hidden="1">
      <c r="A149" s="9">
        <v>148</v>
      </c>
      <c r="B149" s="5">
        <v>2025</v>
      </c>
      <c r="C149" s="5" t="s">
        <v>288</v>
      </c>
      <c r="D149" s="5">
        <v>2</v>
      </c>
      <c r="E149" s="5" t="s">
        <v>281</v>
      </c>
      <c r="F149" s="5">
        <v>19</v>
      </c>
      <c r="G149" s="5" t="s">
        <v>32</v>
      </c>
      <c r="H149" s="5" t="s">
        <v>62</v>
      </c>
      <c r="I149" s="11" t="s">
        <v>289</v>
      </c>
      <c r="J149" s="5" t="s">
        <v>24</v>
      </c>
      <c r="K149" s="5">
        <v>19</v>
      </c>
      <c r="L149" s="5">
        <v>20</v>
      </c>
      <c r="M149" s="21"/>
      <c r="N149" s="5" t="s">
        <v>25</v>
      </c>
      <c r="O149" s="5">
        <v>94774</v>
      </c>
      <c r="P149" s="11" t="s">
        <v>290</v>
      </c>
      <c r="Q149" s="5" t="s">
        <v>291</v>
      </c>
      <c r="R149" s="11">
        <v>2</v>
      </c>
      <c r="S149" s="11" t="s">
        <v>96</v>
      </c>
      <c r="T149" s="5"/>
      <c r="U149" s="21">
        <v>900</v>
      </c>
      <c r="V149" s="21" t="s">
        <v>41</v>
      </c>
    </row>
    <row r="150" spans="1:22" ht="30" hidden="1">
      <c r="A150" s="5">
        <v>149</v>
      </c>
      <c r="B150" s="5">
        <v>2025</v>
      </c>
      <c r="C150" s="5" t="s">
        <v>292</v>
      </c>
      <c r="D150" s="5">
        <v>1</v>
      </c>
      <c r="E150" s="5" t="s">
        <v>281</v>
      </c>
      <c r="F150" s="5">
        <v>20</v>
      </c>
      <c r="G150" s="5" t="s">
        <v>37</v>
      </c>
      <c r="H150" s="5" t="s">
        <v>244</v>
      </c>
      <c r="I150" s="11" t="s">
        <v>293</v>
      </c>
      <c r="J150" s="5" t="s">
        <v>277</v>
      </c>
      <c r="K150" s="5">
        <v>20</v>
      </c>
      <c r="L150" s="5">
        <v>20</v>
      </c>
      <c r="M150" s="21"/>
      <c r="N150" s="5" t="s">
        <v>25</v>
      </c>
      <c r="O150" s="5">
        <v>95132</v>
      </c>
      <c r="P150" s="11">
        <v>854331</v>
      </c>
      <c r="Q150" s="5" t="s">
        <v>294</v>
      </c>
      <c r="R150" s="11" t="s">
        <v>295</v>
      </c>
      <c r="S150" s="11" t="s">
        <v>96</v>
      </c>
      <c r="T150" s="5"/>
      <c r="U150" s="21">
        <v>900</v>
      </c>
      <c r="V150" s="21" t="s">
        <v>41</v>
      </c>
    </row>
    <row r="151" spans="1:22" ht="30" hidden="1">
      <c r="A151" s="9">
        <v>150</v>
      </c>
      <c r="B151" s="5">
        <v>2025</v>
      </c>
      <c r="C151" s="82" t="s">
        <v>288</v>
      </c>
      <c r="D151" s="82">
        <v>1</v>
      </c>
      <c r="E151" s="82" t="s">
        <v>285</v>
      </c>
      <c r="F151" s="82">
        <v>20</v>
      </c>
      <c r="G151" s="82" t="s">
        <v>32</v>
      </c>
      <c r="H151" s="82" t="s">
        <v>62</v>
      </c>
      <c r="I151" s="11" t="s">
        <v>296</v>
      </c>
      <c r="J151" s="82" t="s">
        <v>277</v>
      </c>
      <c r="K151" s="82">
        <v>20</v>
      </c>
      <c r="L151" s="82">
        <v>20</v>
      </c>
      <c r="M151" s="21"/>
      <c r="N151" s="82" t="s">
        <v>25</v>
      </c>
      <c r="O151" s="82">
        <v>96359</v>
      </c>
      <c r="P151" s="77">
        <v>854966</v>
      </c>
      <c r="Q151" s="82" t="s">
        <v>242</v>
      </c>
      <c r="R151" s="77" t="s">
        <v>272</v>
      </c>
      <c r="S151" s="77" t="s">
        <v>96</v>
      </c>
      <c r="T151" s="5"/>
      <c r="U151" s="21">
        <v>1</v>
      </c>
      <c r="V151" s="21" t="s">
        <v>32</v>
      </c>
    </row>
    <row r="152" spans="1:22" ht="30" hidden="1">
      <c r="A152" s="9">
        <v>151</v>
      </c>
      <c r="B152" s="5">
        <v>2025</v>
      </c>
      <c r="C152" s="5"/>
      <c r="D152" s="5">
        <v>2</v>
      </c>
      <c r="E152" s="82" t="s">
        <v>212</v>
      </c>
      <c r="F152" s="5">
        <v>20</v>
      </c>
      <c r="G152" s="5" t="s">
        <v>32</v>
      </c>
      <c r="H152" s="5" t="s">
        <v>62</v>
      </c>
      <c r="I152" s="11" t="s">
        <v>297</v>
      </c>
      <c r="J152" s="5" t="s">
        <v>277</v>
      </c>
      <c r="K152" s="5">
        <v>20</v>
      </c>
      <c r="L152" s="5">
        <v>20</v>
      </c>
      <c r="M152" s="21"/>
      <c r="N152" s="5" t="s">
        <v>25</v>
      </c>
      <c r="O152" s="5">
        <v>98451</v>
      </c>
      <c r="P152" s="5">
        <v>855630</v>
      </c>
      <c r="Q152" s="5" t="s">
        <v>291</v>
      </c>
      <c r="R152" s="11" t="s">
        <v>272</v>
      </c>
      <c r="S152" s="11" t="s">
        <v>96</v>
      </c>
      <c r="T152" s="5"/>
      <c r="U152" s="5">
        <v>10</v>
      </c>
      <c r="V152" s="5" t="s">
        <v>32</v>
      </c>
    </row>
    <row r="153" spans="1:22" hidden="1">
      <c r="A153" s="5">
        <v>152</v>
      </c>
      <c r="B153" s="5">
        <v>2025</v>
      </c>
      <c r="C153" s="5"/>
      <c r="D153" s="5">
        <v>2</v>
      </c>
      <c r="E153" s="5" t="s">
        <v>281</v>
      </c>
      <c r="F153" s="5">
        <v>21</v>
      </c>
      <c r="G153" s="5" t="s">
        <v>32</v>
      </c>
      <c r="H153" s="5" t="s">
        <v>32</v>
      </c>
      <c r="I153" s="11" t="s">
        <v>298</v>
      </c>
      <c r="J153" s="5" t="s">
        <v>24</v>
      </c>
      <c r="K153" s="5">
        <v>21</v>
      </c>
      <c r="L153" s="5">
        <v>21</v>
      </c>
      <c r="M153" s="21"/>
      <c r="N153" s="5" t="s">
        <v>25</v>
      </c>
      <c r="O153" s="5">
        <v>101176</v>
      </c>
      <c r="P153" s="5">
        <v>858694</v>
      </c>
      <c r="Q153" s="5" t="s">
        <v>266</v>
      </c>
      <c r="R153" s="5">
        <v>1</v>
      </c>
      <c r="S153" s="11" t="s">
        <v>96</v>
      </c>
      <c r="U153" s="5">
        <v>5</v>
      </c>
      <c r="V153" s="5" t="s">
        <v>32</v>
      </c>
    </row>
    <row r="154" spans="1:22" hidden="1">
      <c r="A154" s="9">
        <v>153</v>
      </c>
      <c r="B154" s="5">
        <v>2025</v>
      </c>
      <c r="C154" s="5"/>
      <c r="D154" s="5">
        <v>2</v>
      </c>
      <c r="E154" s="5" t="s">
        <v>281</v>
      </c>
      <c r="F154" s="5">
        <v>21</v>
      </c>
      <c r="G154" s="5" t="s">
        <v>32</v>
      </c>
      <c r="H154" s="5" t="s">
        <v>62</v>
      </c>
      <c r="I154" s="11" t="s">
        <v>299</v>
      </c>
      <c r="J154" s="5" t="s">
        <v>24</v>
      </c>
      <c r="K154" s="5">
        <v>21</v>
      </c>
      <c r="L154" s="5">
        <v>21</v>
      </c>
      <c r="M154" s="21"/>
      <c r="N154" s="5" t="s">
        <v>25</v>
      </c>
      <c r="O154" s="5">
        <v>101463</v>
      </c>
      <c r="P154" s="5">
        <v>858708</v>
      </c>
      <c r="Q154" s="5" t="s">
        <v>282</v>
      </c>
      <c r="R154" s="5">
        <v>1</v>
      </c>
      <c r="S154" s="11" t="s">
        <v>96</v>
      </c>
      <c r="U154" s="5">
        <v>5</v>
      </c>
      <c r="V154" s="5" t="s">
        <v>32</v>
      </c>
    </row>
    <row r="155" spans="1:22" hidden="1">
      <c r="A155" s="9">
        <v>154</v>
      </c>
      <c r="B155" s="5">
        <v>2025</v>
      </c>
      <c r="C155" s="5"/>
      <c r="D155" s="5">
        <v>2</v>
      </c>
      <c r="E155" s="5" t="s">
        <v>285</v>
      </c>
      <c r="F155" s="5">
        <v>20</v>
      </c>
      <c r="G155" s="5" t="s">
        <v>22</v>
      </c>
      <c r="H155" s="5" t="s">
        <v>41</v>
      </c>
      <c r="I155" s="11" t="s">
        <v>300</v>
      </c>
      <c r="J155" s="5" t="s">
        <v>24</v>
      </c>
      <c r="K155" s="5">
        <v>20</v>
      </c>
      <c r="L155" s="5">
        <v>20</v>
      </c>
      <c r="M155" s="21"/>
      <c r="N155" s="5" t="s">
        <v>25</v>
      </c>
      <c r="O155" s="5">
        <v>96074</v>
      </c>
      <c r="P155" s="5"/>
      <c r="Q155" s="5" t="s">
        <v>284</v>
      </c>
      <c r="R155" s="5">
        <v>1</v>
      </c>
      <c r="S155" s="11" t="s">
        <v>96</v>
      </c>
      <c r="T155" s="22">
        <v>50</v>
      </c>
      <c r="U155" s="5">
        <v>50</v>
      </c>
      <c r="V155" s="5" t="s">
        <v>41</v>
      </c>
    </row>
    <row r="156" spans="1:22" ht="30" hidden="1">
      <c r="A156" s="5">
        <v>155</v>
      </c>
      <c r="B156" s="5">
        <v>2025</v>
      </c>
      <c r="C156" s="5"/>
      <c r="D156" s="5">
        <v>2</v>
      </c>
      <c r="E156" s="5" t="s">
        <v>301</v>
      </c>
      <c r="F156" s="5">
        <v>20</v>
      </c>
      <c r="G156" s="5" t="s">
        <v>22</v>
      </c>
      <c r="H156" s="5" t="s">
        <v>41</v>
      </c>
      <c r="I156" s="11" t="s">
        <v>302</v>
      </c>
      <c r="J156" s="5" t="s">
        <v>24</v>
      </c>
      <c r="K156" s="5">
        <v>20</v>
      </c>
      <c r="L156" s="5">
        <v>20</v>
      </c>
      <c r="M156" s="22" t="s">
        <v>25</v>
      </c>
      <c r="N156" s="5" t="s">
        <v>303</v>
      </c>
      <c r="O156" s="5">
        <v>94643</v>
      </c>
      <c r="P156" s="5"/>
      <c r="Q156" s="5" t="s">
        <v>284</v>
      </c>
      <c r="R156" s="5">
        <v>1</v>
      </c>
      <c r="S156" s="11" t="s">
        <v>96</v>
      </c>
      <c r="T156" s="22">
        <v>50</v>
      </c>
      <c r="U156" s="5">
        <v>50</v>
      </c>
      <c r="V156" s="5" t="s">
        <v>41</v>
      </c>
    </row>
    <row r="157" spans="1:22" hidden="1">
      <c r="A157" s="9">
        <v>156</v>
      </c>
      <c r="B157" s="5">
        <v>2025</v>
      </c>
      <c r="C157" s="5"/>
      <c r="D157" s="5">
        <v>2</v>
      </c>
      <c r="E157" s="5" t="s">
        <v>212</v>
      </c>
      <c r="F157" s="5">
        <v>21</v>
      </c>
      <c r="G157" s="5" t="s">
        <v>29</v>
      </c>
      <c r="H157" s="5" t="s">
        <v>29</v>
      </c>
      <c r="I157" s="11" t="s">
        <v>304</v>
      </c>
      <c r="J157" s="5" t="s">
        <v>277</v>
      </c>
      <c r="K157" s="5">
        <v>22</v>
      </c>
      <c r="L157" s="5">
        <v>22</v>
      </c>
      <c r="M157" s="21"/>
      <c r="N157" s="5" t="s">
        <v>25</v>
      </c>
      <c r="O157" s="5">
        <v>105688</v>
      </c>
      <c r="P157" s="5">
        <v>861931</v>
      </c>
      <c r="Q157" s="5" t="s">
        <v>305</v>
      </c>
      <c r="R157" s="5">
        <v>1</v>
      </c>
      <c r="S157" s="11" t="s">
        <v>164</v>
      </c>
      <c r="U157" s="5">
        <v>50</v>
      </c>
      <c r="V157" s="5" t="s">
        <v>29</v>
      </c>
    </row>
    <row r="158" spans="1:22" hidden="1">
      <c r="A158" s="9">
        <v>157</v>
      </c>
      <c r="B158" s="5">
        <v>2025</v>
      </c>
      <c r="C158" s="5" t="s">
        <v>306</v>
      </c>
      <c r="D158" s="5">
        <v>1</v>
      </c>
      <c r="E158" s="5" t="s">
        <v>281</v>
      </c>
      <c r="F158" s="5">
        <v>22</v>
      </c>
      <c r="G158" s="5" t="s">
        <v>29</v>
      </c>
      <c r="H158" s="5" t="s">
        <v>29</v>
      </c>
      <c r="I158" s="11" t="s">
        <v>307</v>
      </c>
      <c r="J158" s="5" t="s">
        <v>277</v>
      </c>
      <c r="K158" s="5">
        <v>22</v>
      </c>
      <c r="L158" s="5">
        <v>1</v>
      </c>
      <c r="M158" s="21"/>
      <c r="N158" s="5" t="s">
        <v>25</v>
      </c>
      <c r="O158" s="5">
        <v>109850</v>
      </c>
      <c r="P158" s="5">
        <v>865313</v>
      </c>
      <c r="Q158" s="5" t="s">
        <v>305</v>
      </c>
      <c r="R158" s="5">
        <v>2</v>
      </c>
      <c r="S158" s="11" t="s">
        <v>217</v>
      </c>
      <c r="U158" s="5">
        <v>50</v>
      </c>
      <c r="V158" s="5" t="s">
        <v>29</v>
      </c>
    </row>
    <row r="159" spans="1:22">
      <c r="A159" s="5">
        <v>158</v>
      </c>
      <c r="B159" s="5">
        <v>2026</v>
      </c>
      <c r="C159" s="5"/>
      <c r="D159" s="5">
        <v>2</v>
      </c>
      <c r="E159" s="5" t="s">
        <v>281</v>
      </c>
      <c r="F159" s="5">
        <v>1</v>
      </c>
      <c r="G159" s="5" t="s">
        <v>29</v>
      </c>
      <c r="H159" s="5" t="s">
        <v>29</v>
      </c>
      <c r="I159" s="11" t="s">
        <v>308</v>
      </c>
      <c r="J159" s="5" t="s">
        <v>277</v>
      </c>
      <c r="K159" s="5">
        <v>22</v>
      </c>
      <c r="L159" s="5">
        <v>1</v>
      </c>
      <c r="M159" s="21"/>
      <c r="N159" s="5" t="s">
        <v>25</v>
      </c>
      <c r="O159" s="5">
        <v>110118</v>
      </c>
      <c r="P159" s="5">
        <v>866130</v>
      </c>
      <c r="Q159" s="5" t="s">
        <v>305</v>
      </c>
      <c r="R159" s="5">
        <v>1</v>
      </c>
      <c r="S159" s="11" t="s">
        <v>217</v>
      </c>
      <c r="U159" s="5"/>
      <c r="V159" s="5"/>
    </row>
    <row r="160" spans="1:22">
      <c r="A160" s="9">
        <v>159</v>
      </c>
      <c r="B160" s="5">
        <v>2026</v>
      </c>
      <c r="D160" s="5">
        <v>2</v>
      </c>
      <c r="E160" s="5" t="s">
        <v>309</v>
      </c>
      <c r="F160" s="5">
        <v>1</v>
      </c>
      <c r="G160" s="5" t="s">
        <v>44</v>
      </c>
      <c r="H160" s="5" t="s">
        <v>44</v>
      </c>
      <c r="I160" s="11" t="s">
        <v>310</v>
      </c>
      <c r="J160" s="5" t="s">
        <v>277</v>
      </c>
      <c r="K160" s="5">
        <v>22</v>
      </c>
      <c r="L160" s="5">
        <v>1</v>
      </c>
      <c r="M160" s="21"/>
      <c r="N160" s="5" t="s">
        <v>303</v>
      </c>
      <c r="O160" s="5">
        <v>113391</v>
      </c>
      <c r="P160" s="5">
        <v>866625</v>
      </c>
      <c r="Q160" s="5" t="s">
        <v>311</v>
      </c>
    </row>
    <row r="161" spans="1:37" ht="30">
      <c r="A161" s="9">
        <v>160</v>
      </c>
      <c r="B161" s="5">
        <v>2026</v>
      </c>
      <c r="D161" s="5">
        <v>1</v>
      </c>
      <c r="E161" s="5" t="s">
        <v>281</v>
      </c>
      <c r="F161" s="5">
        <v>1</v>
      </c>
      <c r="G161" s="5" t="s">
        <v>32</v>
      </c>
      <c r="H161" s="5" t="s">
        <v>32</v>
      </c>
      <c r="I161" s="11" t="s">
        <v>312</v>
      </c>
      <c r="J161" s="5" t="s">
        <v>277</v>
      </c>
      <c r="K161" s="5">
        <v>22</v>
      </c>
      <c r="L161" s="5">
        <v>1</v>
      </c>
      <c r="M161" s="21"/>
      <c r="N161" s="5" t="s">
        <v>25</v>
      </c>
      <c r="O161" s="5">
        <v>113962</v>
      </c>
      <c r="P161" s="5">
        <v>868097</v>
      </c>
      <c r="Q161" s="5" t="s">
        <v>233</v>
      </c>
    </row>
    <row r="162" spans="1:37">
      <c r="A162" s="5">
        <v>161</v>
      </c>
      <c r="B162" s="5">
        <v>2026</v>
      </c>
      <c r="D162" s="5">
        <v>2</v>
      </c>
      <c r="E162" s="5" t="s">
        <v>281</v>
      </c>
      <c r="F162" s="5">
        <v>1</v>
      </c>
      <c r="G162" s="5" t="s">
        <v>29</v>
      </c>
      <c r="H162" s="5" t="s">
        <v>29</v>
      </c>
      <c r="I162" s="11" t="s">
        <v>313</v>
      </c>
      <c r="J162" s="5" t="s">
        <v>277</v>
      </c>
      <c r="K162" s="5">
        <v>22</v>
      </c>
      <c r="L162" s="5">
        <v>1</v>
      </c>
      <c r="M162" s="5"/>
      <c r="N162" s="5" t="s">
        <v>25</v>
      </c>
      <c r="O162" s="5">
        <v>114484</v>
      </c>
      <c r="P162" s="5">
        <v>868317</v>
      </c>
      <c r="Q162" s="5" t="s">
        <v>305</v>
      </c>
    </row>
    <row r="163" spans="1:37">
      <c r="A163" s="9">
        <v>162</v>
      </c>
      <c r="B163" s="5">
        <v>2026</v>
      </c>
      <c r="D163" s="5">
        <v>2</v>
      </c>
      <c r="E163" s="5" t="s">
        <v>281</v>
      </c>
      <c r="F163" s="5">
        <v>1</v>
      </c>
      <c r="G163" s="5" t="s">
        <v>314</v>
      </c>
      <c r="H163" s="5" t="s">
        <v>314</v>
      </c>
      <c r="I163" s="11" t="s">
        <v>315</v>
      </c>
      <c r="J163" s="5" t="s">
        <v>24</v>
      </c>
      <c r="K163" s="5">
        <v>1</v>
      </c>
      <c r="L163" s="5">
        <v>1</v>
      </c>
      <c r="M163" s="5"/>
      <c r="N163" s="5" t="s">
        <v>25</v>
      </c>
      <c r="O163" s="5">
        <v>115017</v>
      </c>
      <c r="P163" s="5">
        <v>869084</v>
      </c>
      <c r="Q163" s="5" t="s">
        <v>316</v>
      </c>
      <c r="S163" s="21"/>
      <c r="U163" s="5"/>
      <c r="W163" s="5"/>
      <c r="X163" s="5"/>
      <c r="Y163" s="5"/>
      <c r="Z163" s="5"/>
      <c r="AA163" s="5"/>
      <c r="AB163" s="11"/>
      <c r="AC163" s="5"/>
      <c r="AD163" s="5"/>
      <c r="AE163" s="5"/>
      <c r="AF163" s="5"/>
      <c r="AG163" s="5"/>
      <c r="AH163" s="5"/>
      <c r="AI163" s="5"/>
      <c r="AK163" s="34"/>
    </row>
    <row r="164" spans="1:37">
      <c r="A164" s="9">
        <v>163</v>
      </c>
      <c r="B164" s="5">
        <v>2026</v>
      </c>
      <c r="D164" s="5">
        <v>2</v>
      </c>
      <c r="E164" s="5" t="s">
        <v>281</v>
      </c>
      <c r="F164" s="5">
        <v>1</v>
      </c>
      <c r="G164" s="5" t="s">
        <v>314</v>
      </c>
      <c r="H164" s="5" t="s">
        <v>314</v>
      </c>
      <c r="I164" s="11" t="s">
        <v>317</v>
      </c>
      <c r="J164" s="5" t="s">
        <v>24</v>
      </c>
      <c r="K164" s="5">
        <v>2</v>
      </c>
      <c r="L164" s="5">
        <v>2</v>
      </c>
      <c r="M164" s="5"/>
      <c r="N164" s="5" t="s">
        <v>25</v>
      </c>
      <c r="O164" s="5">
        <v>116755</v>
      </c>
      <c r="P164" s="5"/>
      <c r="Q164" s="5" t="s">
        <v>316</v>
      </c>
      <c r="S164" s="21"/>
      <c r="U164" s="5"/>
      <c r="W164" s="5"/>
      <c r="X164" s="5"/>
      <c r="Y164" s="5"/>
      <c r="Z164" s="5"/>
      <c r="AA164" s="5"/>
      <c r="AB164" s="11"/>
      <c r="AC164" s="5"/>
      <c r="AD164" s="5"/>
      <c r="AE164" s="5"/>
      <c r="AF164" s="5"/>
      <c r="AG164" s="5"/>
      <c r="AH164" s="5"/>
      <c r="AI164" s="5"/>
      <c r="AK164" s="34"/>
    </row>
    <row r="165" spans="1:37">
      <c r="A165" s="5">
        <v>164</v>
      </c>
      <c r="B165" s="5">
        <v>2026</v>
      </c>
      <c r="D165" s="5">
        <v>2</v>
      </c>
      <c r="E165" s="5" t="s">
        <v>309</v>
      </c>
      <c r="F165" s="5">
        <v>2</v>
      </c>
      <c r="G165" s="5" t="s">
        <v>32</v>
      </c>
      <c r="H165" s="5" t="s">
        <v>32</v>
      </c>
      <c r="I165" s="11" t="s">
        <v>318</v>
      </c>
      <c r="J165" s="5" t="s">
        <v>277</v>
      </c>
      <c r="K165" s="5">
        <v>2</v>
      </c>
      <c r="L165" s="5">
        <v>2</v>
      </c>
      <c r="M165" s="5"/>
      <c r="N165" s="5" t="s">
        <v>25</v>
      </c>
      <c r="O165" s="5">
        <v>117377</v>
      </c>
      <c r="P165" s="5">
        <v>4046</v>
      </c>
      <c r="Q165" s="5" t="s">
        <v>242</v>
      </c>
      <c r="S165" s="21"/>
      <c r="U165" s="5"/>
      <c r="W165" s="5"/>
      <c r="X165" s="5"/>
      <c r="Y165" s="5"/>
      <c r="Z165" s="5"/>
      <c r="AA165" s="5"/>
      <c r="AB165" s="11"/>
      <c r="AC165" s="5"/>
      <c r="AD165" s="5"/>
      <c r="AE165" s="5"/>
      <c r="AF165" s="5"/>
      <c r="AG165" s="5"/>
      <c r="AH165" s="5"/>
      <c r="AI165" s="5"/>
      <c r="AK165" s="34"/>
    </row>
    <row r="166" spans="1:37">
      <c r="A166" s="9">
        <v>165</v>
      </c>
      <c r="B166" s="5">
        <v>2026</v>
      </c>
      <c r="D166" s="5">
        <v>2</v>
      </c>
      <c r="E166" s="5" t="s">
        <v>309</v>
      </c>
      <c r="F166" s="5">
        <v>2</v>
      </c>
      <c r="G166" s="5" t="s">
        <v>26</v>
      </c>
      <c r="H166" s="5" t="s">
        <v>26</v>
      </c>
      <c r="I166" s="11" t="s">
        <v>319</v>
      </c>
      <c r="J166" s="5" t="s">
        <v>277</v>
      </c>
      <c r="K166" s="5">
        <v>2</v>
      </c>
      <c r="L166" s="5">
        <v>2</v>
      </c>
      <c r="M166" s="5"/>
      <c r="N166" s="5" t="s">
        <v>25</v>
      </c>
      <c r="O166" s="5"/>
      <c r="P166" s="5">
        <v>4318</v>
      </c>
      <c r="Q166" s="5" t="s">
        <v>169</v>
      </c>
      <c r="S166" s="21"/>
      <c r="U166" s="5"/>
      <c r="W166" s="5"/>
      <c r="X166" s="5"/>
      <c r="Y166" s="5"/>
      <c r="Z166" s="5"/>
      <c r="AA166" s="5"/>
      <c r="AB166" s="11"/>
      <c r="AC166" s="5"/>
      <c r="AD166" s="5"/>
      <c r="AE166" s="5"/>
      <c r="AF166" s="5"/>
      <c r="AG166" s="5"/>
      <c r="AH166" s="5"/>
      <c r="AI166" s="5"/>
      <c r="AK166" s="34"/>
    </row>
    <row r="167" spans="1:37">
      <c r="A167" s="9">
        <v>166</v>
      </c>
      <c r="B167" s="5">
        <v>2026</v>
      </c>
      <c r="D167" s="5">
        <v>2</v>
      </c>
      <c r="E167" s="5" t="s">
        <v>281</v>
      </c>
      <c r="F167" s="5">
        <v>2</v>
      </c>
      <c r="G167" s="5" t="s">
        <v>32</v>
      </c>
      <c r="H167" s="5" t="s">
        <v>62</v>
      </c>
      <c r="I167" s="11" t="s">
        <v>320</v>
      </c>
      <c r="J167" s="5" t="s">
        <v>24</v>
      </c>
      <c r="K167" s="5">
        <v>3</v>
      </c>
      <c r="L167" s="5"/>
      <c r="M167" s="5"/>
      <c r="N167" s="5" t="s">
        <v>25</v>
      </c>
      <c r="O167" s="5">
        <v>118595</v>
      </c>
      <c r="P167" s="5">
        <v>8533</v>
      </c>
      <c r="Q167" s="5"/>
      <c r="S167" s="21"/>
      <c r="U167" s="5"/>
      <c r="W167" s="5"/>
      <c r="X167" s="5"/>
      <c r="Y167" s="5"/>
      <c r="Z167" s="5"/>
      <c r="AA167" s="5"/>
      <c r="AB167" s="11"/>
      <c r="AC167" s="5"/>
      <c r="AD167" s="5"/>
      <c r="AE167" s="5"/>
      <c r="AF167" s="5"/>
      <c r="AG167" s="5"/>
      <c r="AH167" s="5"/>
      <c r="AI167" s="5"/>
      <c r="AK167" s="34"/>
    </row>
    <row r="168" spans="1:37" ht="30">
      <c r="A168" s="5">
        <v>167</v>
      </c>
      <c r="B168" s="5">
        <v>2026</v>
      </c>
      <c r="D168" s="5">
        <v>2</v>
      </c>
      <c r="E168" s="5" t="s">
        <v>309</v>
      </c>
      <c r="F168" s="5">
        <v>3</v>
      </c>
      <c r="G168" s="5" t="s">
        <v>32</v>
      </c>
      <c r="H168" s="5" t="s">
        <v>321</v>
      </c>
      <c r="I168" s="11" t="s">
        <v>322</v>
      </c>
      <c r="J168" s="5" t="s">
        <v>40</v>
      </c>
      <c r="K168" s="5">
        <v>3</v>
      </c>
      <c r="L168" s="5">
        <v>4</v>
      </c>
      <c r="M168" s="5"/>
      <c r="N168" s="5" t="s">
        <v>25</v>
      </c>
      <c r="O168" s="5">
        <v>120897</v>
      </c>
      <c r="P168" s="5">
        <v>14905</v>
      </c>
      <c r="Q168" s="5" t="s">
        <v>242</v>
      </c>
      <c r="S168" s="21"/>
      <c r="U168" s="5"/>
      <c r="W168" s="5"/>
      <c r="X168" s="5"/>
      <c r="Y168" s="5"/>
      <c r="Z168" s="5"/>
      <c r="AA168" s="5"/>
      <c r="AB168" s="11"/>
      <c r="AC168" s="5"/>
      <c r="AD168" s="5"/>
      <c r="AE168" s="5"/>
      <c r="AF168" s="5"/>
      <c r="AG168" s="5"/>
      <c r="AH168" s="5"/>
      <c r="AI168" s="5"/>
      <c r="AK168" s="34"/>
    </row>
    <row r="169" spans="1:37" ht="15.75">
      <c r="A169" s="9">
        <v>168</v>
      </c>
      <c r="B169" s="5">
        <v>2026</v>
      </c>
      <c r="D169" s="5">
        <v>2</v>
      </c>
      <c r="E169" s="5" t="s">
        <v>212</v>
      </c>
      <c r="F169" s="5">
        <v>4</v>
      </c>
      <c r="G169" s="5" t="s">
        <v>41</v>
      </c>
      <c r="H169" s="5" t="s">
        <v>41</v>
      </c>
      <c r="I169" s="11" t="s">
        <v>323</v>
      </c>
      <c r="J169" s="5" t="s">
        <v>277</v>
      </c>
      <c r="K169" s="5">
        <v>4</v>
      </c>
      <c r="L169" s="5">
        <v>5</v>
      </c>
      <c r="M169" s="5"/>
      <c r="N169" s="5" t="s">
        <v>25</v>
      </c>
      <c r="O169" s="5">
        <v>129104</v>
      </c>
      <c r="P169" s="5" t="s">
        <v>324</v>
      </c>
      <c r="Q169" s="5" t="s">
        <v>325</v>
      </c>
      <c r="S169" s="21"/>
      <c r="U169" s="5"/>
      <c r="W169" s="5"/>
      <c r="X169" s="5"/>
      <c r="Y169" s="5"/>
      <c r="Z169" s="5"/>
      <c r="AA169" s="5"/>
      <c r="AB169" s="11"/>
      <c r="AC169" s="5"/>
      <c r="AD169" s="5"/>
      <c r="AE169" s="5"/>
      <c r="AF169" s="5"/>
      <c r="AG169" s="5"/>
      <c r="AH169" s="5"/>
      <c r="AI169" s="5"/>
      <c r="AK169" s="34"/>
    </row>
    <row r="170" spans="1:37">
      <c r="A170" s="9">
        <v>169</v>
      </c>
      <c r="B170" s="5">
        <v>2026</v>
      </c>
      <c r="D170" s="5">
        <v>2</v>
      </c>
      <c r="E170" s="5" t="s">
        <v>212</v>
      </c>
      <c r="F170" s="5">
        <v>4</v>
      </c>
      <c r="G170" s="5" t="s">
        <v>41</v>
      </c>
      <c r="H170" s="5" t="s">
        <v>41</v>
      </c>
      <c r="I170" s="11" t="s">
        <v>326</v>
      </c>
      <c r="J170" s="5" t="s">
        <v>277</v>
      </c>
      <c r="K170" s="5">
        <v>4</v>
      </c>
      <c r="L170" s="5">
        <v>4</v>
      </c>
      <c r="M170" s="21"/>
      <c r="N170" s="5" t="s">
        <v>25</v>
      </c>
      <c r="O170" s="5">
        <v>130671</v>
      </c>
      <c r="P170" s="5"/>
      <c r="Q170" s="5" t="s">
        <v>240</v>
      </c>
    </row>
    <row r="171" spans="1:37">
      <c r="A171" s="5">
        <v>170</v>
      </c>
      <c r="B171" s="5">
        <v>2026</v>
      </c>
      <c r="D171" s="5">
        <v>2</v>
      </c>
      <c r="E171" s="5" t="s">
        <v>212</v>
      </c>
      <c r="F171" s="5">
        <v>4</v>
      </c>
      <c r="G171" s="5" t="s">
        <v>41</v>
      </c>
      <c r="H171" s="5" t="s">
        <v>41</v>
      </c>
      <c r="I171" s="11" t="s">
        <v>327</v>
      </c>
      <c r="J171" s="5" t="s">
        <v>277</v>
      </c>
      <c r="K171" s="5">
        <v>4</v>
      </c>
      <c r="L171" s="5">
        <v>4</v>
      </c>
      <c r="M171" s="21"/>
      <c r="N171" s="5" t="s">
        <v>25</v>
      </c>
      <c r="O171" s="5">
        <v>130691</v>
      </c>
      <c r="P171" s="5"/>
      <c r="Q171" s="5" t="s">
        <v>233</v>
      </c>
    </row>
    <row r="172" spans="1:37">
      <c r="A172" s="9">
        <v>171</v>
      </c>
      <c r="B172" s="5">
        <v>2026</v>
      </c>
      <c r="D172" s="82">
        <v>2</v>
      </c>
      <c r="E172" s="82" t="s">
        <v>212</v>
      </c>
      <c r="F172" s="82">
        <v>4</v>
      </c>
      <c r="G172" s="82" t="s">
        <v>32</v>
      </c>
      <c r="H172" s="82" t="s">
        <v>32</v>
      </c>
      <c r="I172" s="77" t="s">
        <v>328</v>
      </c>
      <c r="J172" s="82" t="s">
        <v>277</v>
      </c>
      <c r="K172" s="82">
        <v>4</v>
      </c>
      <c r="L172" s="82">
        <v>5</v>
      </c>
      <c r="M172" s="21"/>
      <c r="N172" s="82" t="s">
        <v>25</v>
      </c>
      <c r="O172" s="82">
        <v>130402</v>
      </c>
      <c r="P172" s="82"/>
      <c r="Q172" s="82" t="s">
        <v>229</v>
      </c>
    </row>
    <row r="173" spans="1:37">
      <c r="A173" s="9">
        <v>172</v>
      </c>
      <c r="B173" s="5">
        <v>2026</v>
      </c>
      <c r="D173" s="50">
        <v>2</v>
      </c>
      <c r="E173" s="50" t="s">
        <v>309</v>
      </c>
      <c r="F173" s="50">
        <v>5</v>
      </c>
      <c r="G173" s="50" t="s">
        <v>32</v>
      </c>
      <c r="H173" s="50" t="s">
        <v>32</v>
      </c>
      <c r="I173" s="85" t="s">
        <v>329</v>
      </c>
      <c r="J173" s="50" t="s">
        <v>277</v>
      </c>
      <c r="K173" s="50">
        <v>5</v>
      </c>
      <c r="L173" s="50">
        <v>5</v>
      </c>
      <c r="M173" s="21"/>
      <c r="N173" s="50" t="s">
        <v>25</v>
      </c>
      <c r="O173" s="50">
        <v>133267</v>
      </c>
      <c r="P173" s="86" t="s">
        <v>330</v>
      </c>
      <c r="Q173" s="50" t="s">
        <v>331</v>
      </c>
    </row>
    <row r="174" spans="1:37">
      <c r="A174" s="5">
        <v>173</v>
      </c>
      <c r="B174" s="5">
        <v>2026</v>
      </c>
      <c r="D174" s="50">
        <v>2</v>
      </c>
      <c r="E174" s="50" t="s">
        <v>281</v>
      </c>
      <c r="F174" s="50">
        <v>6</v>
      </c>
      <c r="G174" s="50" t="s">
        <v>41</v>
      </c>
      <c r="H174" s="50" t="s">
        <v>41</v>
      </c>
      <c r="I174" s="85" t="s">
        <v>332</v>
      </c>
      <c r="J174" s="50" t="s">
        <v>277</v>
      </c>
      <c r="K174" s="50">
        <v>6</v>
      </c>
      <c r="L174" s="50">
        <v>6</v>
      </c>
      <c r="M174" s="21"/>
      <c r="N174" s="50" t="s">
        <v>25</v>
      </c>
      <c r="O174" s="92">
        <v>138671</v>
      </c>
      <c r="P174" s="90">
        <v>51051</v>
      </c>
      <c r="Q174" s="50" t="s">
        <v>331</v>
      </c>
    </row>
    <row r="175" spans="1:37">
      <c r="A175" s="9">
        <v>174</v>
      </c>
      <c r="B175" s="5">
        <v>2026</v>
      </c>
      <c r="D175" s="87">
        <v>2</v>
      </c>
      <c r="E175" s="87" t="s">
        <v>212</v>
      </c>
      <c r="F175" s="87">
        <v>5</v>
      </c>
      <c r="G175" s="87" t="s">
        <v>32</v>
      </c>
      <c r="H175" s="87" t="s">
        <v>32</v>
      </c>
      <c r="I175" s="88" t="s">
        <v>333</v>
      </c>
      <c r="J175" s="87" t="s">
        <v>334</v>
      </c>
      <c r="K175" s="87">
        <v>5</v>
      </c>
      <c r="L175" s="87">
        <v>6</v>
      </c>
      <c r="M175" s="21"/>
      <c r="N175" s="87" t="s">
        <v>25</v>
      </c>
      <c r="O175" s="93">
        <v>133978</v>
      </c>
      <c r="P175" s="86" t="s">
        <v>335</v>
      </c>
      <c r="Q175" s="89" t="s">
        <v>336</v>
      </c>
    </row>
    <row r="176" spans="1:37">
      <c r="A176" s="9">
        <v>175</v>
      </c>
      <c r="B176" s="5">
        <v>2026</v>
      </c>
      <c r="D176" s="87">
        <v>2</v>
      </c>
      <c r="E176" s="87" t="s">
        <v>212</v>
      </c>
      <c r="F176" s="87">
        <v>6</v>
      </c>
      <c r="G176" s="87" t="s">
        <v>37</v>
      </c>
      <c r="H176" s="87" t="s">
        <v>37</v>
      </c>
      <c r="I176" s="88" t="s">
        <v>337</v>
      </c>
      <c r="J176" s="87" t="s">
        <v>334</v>
      </c>
      <c r="K176" s="87">
        <v>6</v>
      </c>
      <c r="L176" s="87">
        <v>7</v>
      </c>
      <c r="M176" s="21"/>
      <c r="N176" s="87" t="s">
        <v>25</v>
      </c>
      <c r="O176" s="93">
        <v>140033</v>
      </c>
      <c r="P176" s="86" t="s">
        <v>338</v>
      </c>
      <c r="Q176" s="89" t="s">
        <v>229</v>
      </c>
    </row>
    <row r="177" spans="1:31">
      <c r="A177" s="5">
        <v>176</v>
      </c>
      <c r="B177" s="5">
        <v>2026</v>
      </c>
      <c r="D177" s="87">
        <v>2</v>
      </c>
      <c r="E177" s="87" t="s">
        <v>212</v>
      </c>
      <c r="F177" s="87">
        <v>6</v>
      </c>
      <c r="G177" s="87" t="s">
        <v>41</v>
      </c>
      <c r="H177" s="87" t="s">
        <v>339</v>
      </c>
      <c r="I177" s="88" t="s">
        <v>340</v>
      </c>
      <c r="J177" s="87" t="s">
        <v>334</v>
      </c>
      <c r="K177" s="87">
        <v>6</v>
      </c>
      <c r="L177" s="87">
        <v>7</v>
      </c>
      <c r="M177" s="21"/>
      <c r="N177" s="87" t="s">
        <v>25</v>
      </c>
      <c r="O177" s="93">
        <v>142693</v>
      </c>
      <c r="P177" s="86"/>
      <c r="Q177" s="89" t="s">
        <v>316</v>
      </c>
    </row>
    <row r="178" spans="1:31" ht="30">
      <c r="A178" s="9">
        <v>177</v>
      </c>
      <c r="B178" s="82">
        <v>2026</v>
      </c>
      <c r="D178" s="95">
        <v>2</v>
      </c>
      <c r="E178" s="95" t="s">
        <v>309</v>
      </c>
      <c r="F178" s="95">
        <v>6</v>
      </c>
      <c r="G178" s="95" t="s">
        <v>29</v>
      </c>
      <c r="H178" s="95" t="s">
        <v>29</v>
      </c>
      <c r="I178" s="96" t="s">
        <v>341</v>
      </c>
      <c r="J178" s="95" t="s">
        <v>334</v>
      </c>
      <c r="K178" s="95">
        <v>6</v>
      </c>
      <c r="L178" s="95">
        <v>7</v>
      </c>
      <c r="M178" s="21"/>
      <c r="N178" s="95" t="s">
        <v>25</v>
      </c>
      <c r="O178" s="97">
        <v>142692</v>
      </c>
      <c r="P178" s="98">
        <v>62489</v>
      </c>
      <c r="Q178" s="99" t="s">
        <v>342</v>
      </c>
    </row>
    <row r="179" spans="1:31" ht="16.5">
      <c r="A179" s="9">
        <v>178</v>
      </c>
      <c r="B179" s="5">
        <v>2026</v>
      </c>
      <c r="C179" s="5"/>
      <c r="D179" s="5">
        <v>2</v>
      </c>
      <c r="E179" s="5" t="s">
        <v>309</v>
      </c>
      <c r="F179" s="5">
        <v>5</v>
      </c>
      <c r="G179" s="5" t="s">
        <v>32</v>
      </c>
      <c r="H179" s="5" t="s">
        <v>32</v>
      </c>
      <c r="I179" s="11" t="s">
        <v>343</v>
      </c>
      <c r="J179" s="5" t="s">
        <v>277</v>
      </c>
      <c r="K179" s="5">
        <v>5</v>
      </c>
      <c r="L179" s="5">
        <v>7</v>
      </c>
      <c r="M179" s="21"/>
      <c r="N179" s="5" t="s">
        <v>25</v>
      </c>
      <c r="O179" s="100">
        <v>133866</v>
      </c>
      <c r="P179" s="101">
        <v>40881</v>
      </c>
      <c r="Q179" s="5" t="s">
        <v>266</v>
      </c>
    </row>
    <row r="180" spans="1:31">
      <c r="A180" s="5">
        <v>179</v>
      </c>
      <c r="B180" s="5">
        <v>2026</v>
      </c>
      <c r="C180" s="5"/>
      <c r="D180" s="5">
        <v>2</v>
      </c>
      <c r="E180" s="5" t="s">
        <v>281</v>
      </c>
      <c r="F180" s="5">
        <v>7</v>
      </c>
      <c r="G180" s="5" t="s">
        <v>37</v>
      </c>
      <c r="H180" s="5" t="s">
        <v>37</v>
      </c>
      <c r="I180" s="11" t="s">
        <v>344</v>
      </c>
      <c r="J180" s="5" t="s">
        <v>277</v>
      </c>
      <c r="K180" s="5">
        <v>7</v>
      </c>
      <c r="L180" s="5">
        <v>8</v>
      </c>
      <c r="M180" s="89"/>
      <c r="N180" s="5" t="s">
        <v>365</v>
      </c>
      <c r="O180" s="5"/>
      <c r="P180" s="105">
        <v>64229</v>
      </c>
      <c r="Q180" s="5" t="s">
        <v>345</v>
      </c>
      <c r="S180" s="87"/>
      <c r="T180" s="87"/>
      <c r="U180" s="87"/>
      <c r="V180" s="87"/>
      <c r="W180" s="87"/>
      <c r="X180" s="88"/>
      <c r="Y180" s="87"/>
      <c r="Z180" s="87"/>
      <c r="AA180" s="87"/>
      <c r="AB180" s="87"/>
      <c r="AC180" s="93"/>
      <c r="AD180" s="86"/>
      <c r="AE180" s="89"/>
    </row>
    <row r="181" spans="1:31" ht="30">
      <c r="A181" s="9">
        <v>180</v>
      </c>
      <c r="B181" s="5">
        <v>2026</v>
      </c>
      <c r="C181" s="5"/>
      <c r="D181" s="5">
        <v>2</v>
      </c>
      <c r="E181" s="5" t="s">
        <v>281</v>
      </c>
      <c r="F181" s="5">
        <v>7</v>
      </c>
      <c r="G181" s="5" t="s">
        <v>41</v>
      </c>
      <c r="H181" s="5" t="s">
        <v>41</v>
      </c>
      <c r="I181" s="11" t="s">
        <v>346</v>
      </c>
      <c r="J181" s="5" t="s">
        <v>334</v>
      </c>
      <c r="K181" s="5">
        <v>7</v>
      </c>
      <c r="L181" s="5">
        <v>8</v>
      </c>
      <c r="N181" s="5" t="s">
        <v>347</v>
      </c>
      <c r="O181" s="102">
        <v>144762</v>
      </c>
      <c r="P181" s="103">
        <v>64032</v>
      </c>
      <c r="Q181" s="5" t="s">
        <v>336</v>
      </c>
    </row>
    <row r="182" spans="1:31">
      <c r="A182" s="9">
        <v>181</v>
      </c>
      <c r="B182" s="5">
        <v>2026</v>
      </c>
      <c r="C182" s="5"/>
      <c r="D182" s="5">
        <v>2</v>
      </c>
      <c r="E182" s="5" t="s">
        <v>309</v>
      </c>
      <c r="F182" s="5">
        <v>7</v>
      </c>
      <c r="G182" s="5" t="s">
        <v>44</v>
      </c>
      <c r="H182" s="5" t="s">
        <v>258</v>
      </c>
      <c r="I182" s="11" t="s">
        <v>348</v>
      </c>
      <c r="J182" s="5" t="s">
        <v>24</v>
      </c>
      <c r="K182" s="5">
        <v>7</v>
      </c>
      <c r="L182" s="5">
        <v>8</v>
      </c>
      <c r="M182" s="21"/>
      <c r="N182" s="5" t="s">
        <v>347</v>
      </c>
      <c r="O182" s="104">
        <v>144725</v>
      </c>
      <c r="P182" s="5"/>
      <c r="Q182" s="5" t="s">
        <v>235</v>
      </c>
    </row>
    <row r="183" spans="1:31" ht="15.75">
      <c r="A183" s="5">
        <v>182</v>
      </c>
      <c r="B183" s="5">
        <v>2026</v>
      </c>
      <c r="C183" s="5"/>
      <c r="D183" s="5">
        <v>2</v>
      </c>
      <c r="E183" s="5" t="s">
        <v>212</v>
      </c>
      <c r="F183" s="5">
        <v>7</v>
      </c>
      <c r="G183" s="5" t="s">
        <v>41</v>
      </c>
      <c r="H183" s="5" t="s">
        <v>41</v>
      </c>
      <c r="I183" s="11" t="s">
        <v>349</v>
      </c>
      <c r="J183" s="5" t="s">
        <v>277</v>
      </c>
      <c r="K183" s="5">
        <v>7</v>
      </c>
      <c r="L183" s="5">
        <v>8</v>
      </c>
      <c r="N183" s="5" t="s">
        <v>347</v>
      </c>
      <c r="O183" s="102">
        <v>145189</v>
      </c>
      <c r="P183" s="103">
        <v>64674</v>
      </c>
      <c r="Q183" s="5" t="s">
        <v>331</v>
      </c>
    </row>
    <row r="184" spans="1:31">
      <c r="A184" s="9">
        <v>183</v>
      </c>
      <c r="B184" s="82">
        <v>2026</v>
      </c>
      <c r="C184" s="82"/>
      <c r="D184" s="82">
        <v>2</v>
      </c>
      <c r="E184" s="82" t="s">
        <v>281</v>
      </c>
      <c r="F184" s="82">
        <v>8</v>
      </c>
      <c r="G184" s="82" t="s">
        <v>44</v>
      </c>
      <c r="H184" s="82" t="s">
        <v>44</v>
      </c>
      <c r="I184" s="77" t="s">
        <v>350</v>
      </c>
      <c r="J184" s="82" t="s">
        <v>277</v>
      </c>
      <c r="K184" s="82">
        <v>8</v>
      </c>
      <c r="L184" s="82">
        <v>8</v>
      </c>
      <c r="M184" s="26"/>
      <c r="N184" s="82" t="s">
        <v>347</v>
      </c>
      <c r="O184" s="106">
        <v>147174</v>
      </c>
      <c r="P184" s="110">
        <v>70214</v>
      </c>
      <c r="Q184" s="82" t="s">
        <v>235</v>
      </c>
    </row>
    <row r="185" spans="1:31" ht="15.75">
      <c r="A185" s="9">
        <v>184</v>
      </c>
      <c r="B185" s="82">
        <v>2026</v>
      </c>
      <c r="C185" s="82"/>
      <c r="D185" s="82">
        <v>2</v>
      </c>
      <c r="E185" s="82" t="s">
        <v>212</v>
      </c>
      <c r="F185" s="82">
        <v>8</v>
      </c>
      <c r="G185" s="82" t="s">
        <v>32</v>
      </c>
      <c r="H185" s="82" t="s">
        <v>32</v>
      </c>
      <c r="I185" s="77" t="s">
        <v>351</v>
      </c>
      <c r="J185" s="82" t="s">
        <v>334</v>
      </c>
      <c r="K185" s="82">
        <v>8</v>
      </c>
      <c r="L185" s="82">
        <v>9</v>
      </c>
      <c r="M185" s="26"/>
      <c r="N185" s="82" t="s">
        <v>347</v>
      </c>
      <c r="O185" s="106">
        <v>148757</v>
      </c>
      <c r="P185" s="107">
        <v>69645</v>
      </c>
      <c r="Q185" s="82" t="s">
        <v>233</v>
      </c>
    </row>
    <row r="186" spans="1:31">
      <c r="A186" s="5">
        <v>185</v>
      </c>
      <c r="B186" s="50">
        <v>2026</v>
      </c>
      <c r="C186" s="50"/>
      <c r="D186" s="50">
        <v>2</v>
      </c>
      <c r="E186" s="50" t="s">
        <v>212</v>
      </c>
      <c r="F186" s="50">
        <v>8</v>
      </c>
      <c r="G186" s="50" t="s">
        <v>41</v>
      </c>
      <c r="H186" s="50" t="s">
        <v>41</v>
      </c>
      <c r="I186" s="85" t="s">
        <v>352</v>
      </c>
      <c r="J186" s="50" t="s">
        <v>334</v>
      </c>
      <c r="K186" s="50">
        <v>8</v>
      </c>
      <c r="L186" s="50">
        <v>9</v>
      </c>
      <c r="M186" s="50"/>
      <c r="N186" s="50" t="s">
        <v>347</v>
      </c>
      <c r="O186" s="108">
        <v>148758</v>
      </c>
      <c r="P186" s="109">
        <v>69870</v>
      </c>
      <c r="Q186" s="50" t="s">
        <v>197</v>
      </c>
    </row>
    <row r="187" spans="1:31">
      <c r="J187" s="21"/>
      <c r="M187" s="21"/>
    </row>
    <row r="188" spans="1:31">
      <c r="J188" s="21"/>
      <c r="M188" s="21"/>
    </row>
    <row r="189" spans="1:31">
      <c r="J189" s="21"/>
      <c r="M189" s="21"/>
    </row>
    <row r="190" spans="1:31">
      <c r="J190" s="21"/>
      <c r="M190" s="21"/>
    </row>
    <row r="191" spans="1:31">
      <c r="J191" s="21"/>
      <c r="M191" s="21"/>
    </row>
    <row r="192" spans="1:31">
      <c r="J192" s="21"/>
      <c r="M192" s="21"/>
    </row>
    <row r="193" spans="10:13">
      <c r="J193" s="21"/>
      <c r="M193" s="21"/>
    </row>
    <row r="194" spans="10:13">
      <c r="J194" s="21"/>
      <c r="M194" s="21"/>
    </row>
    <row r="195" spans="10:13">
      <c r="J195" s="21"/>
      <c r="M195" s="21"/>
    </row>
    <row r="196" spans="10:13">
      <c r="J196" s="21"/>
      <c r="M196" s="21"/>
    </row>
    <row r="197" spans="10:13">
      <c r="J197" s="21"/>
      <c r="M197" s="21"/>
    </row>
    <row r="198" spans="10:13">
      <c r="J198" s="21"/>
      <c r="M198" s="21"/>
    </row>
    <row r="199" spans="10:13">
      <c r="J199" s="21"/>
      <c r="M199" s="21"/>
    </row>
    <row r="200" spans="10:13">
      <c r="J200" s="21"/>
      <c r="M200" s="21"/>
    </row>
    <row r="201" spans="10:13">
      <c r="J201" s="21"/>
      <c r="M201" s="21"/>
    </row>
    <row r="202" spans="10:13">
      <c r="J202" s="21"/>
      <c r="M202" s="21"/>
    </row>
    <row r="203" spans="10:13">
      <c r="J203" s="21"/>
      <c r="M203" s="21"/>
    </row>
    <row r="204" spans="10:13">
      <c r="J204" s="21"/>
      <c r="M204" s="21"/>
    </row>
    <row r="205" spans="10:13">
      <c r="J205" s="21"/>
      <c r="M205" s="21"/>
    </row>
    <row r="206" spans="10:13">
      <c r="J206" s="21"/>
      <c r="M206" s="21"/>
    </row>
    <row r="207" spans="10:13">
      <c r="J207" s="21"/>
      <c r="M207" s="21"/>
    </row>
    <row r="208" spans="10:13">
      <c r="J208" s="21"/>
      <c r="M208" s="21"/>
    </row>
    <row r="209" spans="10:13">
      <c r="J209" s="21"/>
      <c r="M209" s="21"/>
    </row>
    <row r="210" spans="10:13">
      <c r="J210" s="21"/>
      <c r="M210" s="21"/>
    </row>
    <row r="211" spans="10:13">
      <c r="J211" s="21"/>
      <c r="M211" s="21"/>
    </row>
    <row r="212" spans="10:13">
      <c r="J212" s="21"/>
      <c r="M212" s="21"/>
    </row>
    <row r="213" spans="10:13">
      <c r="J213" s="21"/>
      <c r="M213" s="21"/>
    </row>
    <row r="214" spans="10:13">
      <c r="J214" s="21"/>
      <c r="M214" s="21"/>
    </row>
    <row r="215" spans="10:13">
      <c r="J215" s="21"/>
      <c r="M215" s="21"/>
    </row>
    <row r="216" spans="10:13">
      <c r="J216" s="21"/>
      <c r="M216" s="21"/>
    </row>
    <row r="217" spans="10:13">
      <c r="J217" s="21"/>
      <c r="M217" s="21"/>
    </row>
    <row r="218" spans="10:13">
      <c r="J218" s="21"/>
      <c r="M218" s="21"/>
    </row>
    <row r="219" spans="10:13">
      <c r="J219" s="21"/>
      <c r="M219" s="21"/>
    </row>
    <row r="220" spans="10:13">
      <c r="J220" s="21"/>
      <c r="M220" s="21"/>
    </row>
    <row r="221" spans="10:13">
      <c r="J221" s="21"/>
      <c r="M221" s="21"/>
    </row>
    <row r="222" spans="10:13">
      <c r="J222" s="21"/>
      <c r="M222" s="21"/>
    </row>
    <row r="223" spans="10:13">
      <c r="J223" s="21"/>
      <c r="M223" s="21"/>
    </row>
    <row r="224" spans="10:13">
      <c r="J224" s="21"/>
      <c r="M224" s="21"/>
    </row>
    <row r="225" spans="10:13">
      <c r="J225" s="21"/>
      <c r="M225" s="21"/>
    </row>
    <row r="226" spans="10:13">
      <c r="J226" s="21"/>
      <c r="M226" s="21"/>
    </row>
    <row r="227" spans="10:13">
      <c r="J227" s="21"/>
      <c r="M227" s="21"/>
    </row>
    <row r="228" spans="10:13">
      <c r="J228" s="21"/>
      <c r="M228" s="21"/>
    </row>
    <row r="229" spans="10:13">
      <c r="J229" s="21"/>
      <c r="M229" s="21"/>
    </row>
    <row r="230" spans="10:13">
      <c r="J230" s="21"/>
      <c r="M230" s="21"/>
    </row>
    <row r="231" spans="10:13">
      <c r="J231" s="21"/>
      <c r="M231" s="21"/>
    </row>
    <row r="232" spans="10:13">
      <c r="J232" s="21"/>
      <c r="M232" s="21"/>
    </row>
    <row r="233" spans="10:13">
      <c r="J233" s="21"/>
      <c r="M233" s="21"/>
    </row>
    <row r="234" spans="10:13">
      <c r="J234" s="21"/>
      <c r="M234" s="21"/>
    </row>
    <row r="235" spans="10:13">
      <c r="J235" s="21"/>
      <c r="M235" s="21"/>
    </row>
    <row r="236" spans="10:13">
      <c r="J236" s="21"/>
      <c r="M236" s="21"/>
    </row>
    <row r="237" spans="10:13">
      <c r="J237" s="21"/>
      <c r="M237" s="21"/>
    </row>
    <row r="238" spans="10:13">
      <c r="J238" s="21"/>
      <c r="M238" s="21"/>
    </row>
    <row r="239" spans="10:13">
      <c r="J239" s="21"/>
      <c r="M239" s="21"/>
    </row>
    <row r="240" spans="10:13">
      <c r="J240" s="21"/>
      <c r="M240" s="21"/>
    </row>
    <row r="241" spans="10:13">
      <c r="J241" s="21"/>
      <c r="M241" s="21"/>
    </row>
    <row r="242" spans="10:13">
      <c r="J242" s="21"/>
      <c r="M242" s="21"/>
    </row>
    <row r="243" spans="10:13">
      <c r="J243" s="21"/>
      <c r="M243" s="21"/>
    </row>
    <row r="244" spans="10:13">
      <c r="J244" s="21"/>
      <c r="M244" s="21"/>
    </row>
    <row r="245" spans="10:13">
      <c r="J245" s="21"/>
      <c r="M245" s="21"/>
    </row>
    <row r="246" spans="10:13">
      <c r="J246" s="21"/>
      <c r="M246" s="21"/>
    </row>
    <row r="247" spans="10:13">
      <c r="J247" s="21"/>
      <c r="M247" s="21"/>
    </row>
    <row r="248" spans="10:13">
      <c r="J248" s="21"/>
      <c r="M248" s="21"/>
    </row>
    <row r="249" spans="10:13">
      <c r="J249" s="21"/>
      <c r="M249" s="21"/>
    </row>
    <row r="250" spans="10:13">
      <c r="J250" s="21"/>
      <c r="M250" s="21"/>
    </row>
    <row r="251" spans="10:13">
      <c r="J251" s="21"/>
      <c r="M251" s="21"/>
    </row>
    <row r="252" spans="10:13">
      <c r="J252" s="21"/>
      <c r="M252" s="21"/>
    </row>
    <row r="253" spans="10:13">
      <c r="J253" s="21"/>
      <c r="M253" s="21"/>
    </row>
    <row r="254" spans="10:13">
      <c r="J254" s="21"/>
      <c r="M254" s="21"/>
    </row>
    <row r="255" spans="10:13">
      <c r="J255" s="21"/>
      <c r="M255" s="21"/>
    </row>
    <row r="256" spans="10:13">
      <c r="J256" s="21"/>
      <c r="M256" s="21"/>
    </row>
    <row r="257" spans="10:13">
      <c r="J257" s="21"/>
      <c r="M257" s="21"/>
    </row>
    <row r="258" spans="10:13">
      <c r="J258" s="21"/>
      <c r="M258" s="21"/>
    </row>
    <row r="259" spans="10:13">
      <c r="J259" s="21"/>
      <c r="M259" s="21"/>
    </row>
    <row r="260" spans="10:13">
      <c r="J260" s="21"/>
      <c r="M260" s="21"/>
    </row>
    <row r="261" spans="10:13">
      <c r="J261" s="21"/>
      <c r="M261" s="21"/>
    </row>
    <row r="262" spans="10:13">
      <c r="J262" s="21"/>
      <c r="M262" s="21"/>
    </row>
  </sheetData>
  <autoFilter ref="A1:V186" xr:uid="{51912A95-8495-48EF-8281-9EA7F885C6C0}">
    <filterColumn colId="1">
      <filters>
        <filter val="2026"/>
      </filters>
    </filterColumn>
  </autoFilter>
  <conditionalFormatting sqref="D1:E1048576 Q160:Q161">
    <cfRule type="cellIs" dxfId="81" priority="58" operator="equal">
      <formula>1</formula>
    </cfRule>
    <cfRule type="cellIs" dxfId="80" priority="56" operator="equal">
      <formula>3</formula>
    </cfRule>
    <cfRule type="cellIs" dxfId="79" priority="57" operator="equal">
      <formula>2</formula>
    </cfRule>
  </conditionalFormatting>
  <conditionalFormatting sqref="M139">
    <cfRule type="cellIs" dxfId="78" priority="43" operator="equal">
      <formula>"en regional"</formula>
    </cfRule>
    <cfRule type="cellIs" dxfId="77" priority="44" operator="equal">
      <formula>"regional"</formula>
    </cfRule>
    <cfRule type="cellIs" dxfId="76" priority="45" operator="equal">
      <formula>"asignado a dev"</formula>
    </cfRule>
    <cfRule type="cellIs" dxfId="75" priority="46" operator="equal">
      <formula>"seguimiento soporte"</formula>
    </cfRule>
    <cfRule type="cellIs" dxfId="74" priority="47" operator="equal">
      <formula>"solventado"</formula>
    </cfRule>
  </conditionalFormatting>
  <conditionalFormatting sqref="M162">
    <cfRule type="cellIs" dxfId="73" priority="35" operator="equal">
      <formula>3</formula>
    </cfRule>
    <cfRule type="cellIs" dxfId="72" priority="36" operator="equal">
      <formula>2</formula>
    </cfRule>
    <cfRule type="cellIs" dxfId="71" priority="37" operator="equal">
      <formula>1</formula>
    </cfRule>
  </conditionalFormatting>
  <conditionalFormatting sqref="M163:M169 AF163:AF169">
    <cfRule type="cellIs" dxfId="70" priority="28" operator="equal">
      <formula>"produccion"</formula>
    </cfRule>
    <cfRule type="cellIs" dxfId="69" priority="24" operator="equal">
      <formula>"en regional"</formula>
    </cfRule>
    <cfRule type="cellIs" dxfId="68" priority="25" operator="equal">
      <formula>"regional"</formula>
    </cfRule>
    <cfRule type="cellIs" dxfId="67" priority="26" operator="equal">
      <formula>"Escalado a desarrollo"</formula>
    </cfRule>
    <cfRule type="cellIs" dxfId="66" priority="27" operator="equal">
      <formula>"reapertura"</formula>
    </cfRule>
  </conditionalFormatting>
  <conditionalFormatting sqref="M180 AB180">
    <cfRule type="cellIs" dxfId="65" priority="4" operator="equal">
      <formula>"en regional"</formula>
    </cfRule>
    <cfRule type="cellIs" dxfId="64" priority="5" operator="equal">
      <formula>"regional"</formula>
    </cfRule>
    <cfRule type="cellIs" dxfId="63" priority="6" operator="equal">
      <formula>"Escalado a desarrollo"</formula>
    </cfRule>
    <cfRule type="cellIs" dxfId="62" priority="7" operator="equal">
      <formula>"reapertura"</formula>
    </cfRule>
    <cfRule type="cellIs" dxfId="61" priority="8" operator="equal">
      <formula>"produccion"</formula>
    </cfRule>
  </conditionalFormatting>
  <conditionalFormatting sqref="N2:N1048576 M156">
    <cfRule type="cellIs" dxfId="60" priority="38" operator="equal">
      <formula>"en regional"</formula>
    </cfRule>
    <cfRule type="cellIs" dxfId="59" priority="39" operator="equal">
      <formula>"regional"</formula>
    </cfRule>
    <cfRule type="cellIs" dxfId="58" priority="40" operator="equal">
      <formula>"Escalado a desarrollo"</formula>
    </cfRule>
    <cfRule type="cellIs" dxfId="57" priority="41" operator="equal">
      <formula>"reapertura"</formula>
    </cfRule>
    <cfRule type="cellIs" dxfId="56" priority="42" operator="equal">
      <formula>"produccion"</formula>
    </cfRule>
  </conditionalFormatting>
  <conditionalFormatting sqref="O163:Q172">
    <cfRule type="cellIs" dxfId="55" priority="9" operator="equal">
      <formula>3</formula>
    </cfRule>
    <cfRule type="cellIs" dxfId="54" priority="10" operator="equal">
      <formula>2</formula>
    </cfRule>
    <cfRule type="cellIs" dxfId="53" priority="11" operator="equal">
      <formula>1</formula>
    </cfRule>
  </conditionalFormatting>
  <conditionalFormatting sqref="S180:T180">
    <cfRule type="cellIs" dxfId="52" priority="1" operator="equal">
      <formula>3</formula>
    </cfRule>
    <cfRule type="cellIs" dxfId="51" priority="2" operator="equal">
      <formula>2</formula>
    </cfRule>
    <cfRule type="cellIs" dxfId="50" priority="3" operator="equal">
      <formula>1</formula>
    </cfRule>
  </conditionalFormatting>
  <conditionalFormatting sqref="W163:X169 AI163:AI169">
    <cfRule type="cellIs" dxfId="49" priority="31" operator="equal">
      <formula>1</formula>
    </cfRule>
    <cfRule type="cellIs" dxfId="48" priority="29" operator="equal">
      <formula>3</formula>
    </cfRule>
    <cfRule type="cellIs" dxfId="47" priority="30" operator="equal">
      <formula>2</formula>
    </cfRule>
  </conditionalFormatting>
  <hyperlinks>
    <hyperlink ref="P51" r:id="rId1" location="/?type=4" display="419966" xr:uid="{9D78A2E3-C536-471A-B3EA-4A74DBA8BF3D}"/>
    <hyperlink ref="P54" r:id="rId2" display="https://soporte.kfc.com.ec/ASDKV8/Main/Pages/Cases.aspx" xr:uid="{44333139-1923-461D-BD7E-856F6D68BFDA}"/>
    <hyperlink ref="P61" r:id="rId3" location="/?type=1" display="786906" xr:uid="{1E82444E-3E02-4756-A517-1A693A16388D}"/>
    <hyperlink ref="P63" r:id="rId4" location="/?type=1" display="792625" xr:uid="{0A08A02F-D941-440F-9F29-61EB1EB27B30}"/>
  </hyperlinks>
  <pageMargins left="0.7" right="0.7" top="0.75" bottom="0.75" header="0.3" footer="0.3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71EA-65A5-4676-8D84-202323137575}">
  <sheetPr codeName="Hoja3"/>
  <dimension ref="A1:Q39"/>
  <sheetViews>
    <sheetView topLeftCell="A24" workbookViewId="0">
      <selection activeCell="H38" sqref="H38"/>
    </sheetView>
  </sheetViews>
  <sheetFormatPr baseColWidth="10" defaultColWidth="9.140625" defaultRowHeight="15"/>
  <cols>
    <col min="4" max="4" width="14.85546875" style="21" customWidth="1"/>
    <col min="5" max="5" width="11.140625" bestFit="1" customWidth="1"/>
    <col min="6" max="6" width="12.5703125" customWidth="1"/>
    <col min="7" max="7" width="11.140625" bestFit="1" customWidth="1"/>
    <col min="8" max="8" width="65.85546875" bestFit="1" customWidth="1"/>
    <col min="9" max="9" width="14.28515625" bestFit="1" customWidth="1"/>
    <col min="10" max="10" width="14" customWidth="1"/>
    <col min="11" max="11" width="14.28515625" bestFit="1" customWidth="1"/>
    <col min="12" max="12" width="14.140625" bestFit="1" customWidth="1"/>
    <col min="14" max="14" width="17.5703125" bestFit="1" customWidth="1"/>
    <col min="15" max="15" width="11.28515625" customWidth="1"/>
    <col min="16" max="16" width="13.85546875" bestFit="1" customWidth="1"/>
    <col min="17" max="17" width="12.28515625" bestFit="1" customWidth="1"/>
  </cols>
  <sheetData>
    <row r="1" spans="1:17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5</v>
      </c>
      <c r="F1" s="40" t="s">
        <v>6</v>
      </c>
      <c r="G1" s="40" t="s">
        <v>7</v>
      </c>
      <c r="H1" s="40" t="s">
        <v>8</v>
      </c>
      <c r="I1" s="40" t="s">
        <v>9</v>
      </c>
      <c r="J1" s="40" t="s">
        <v>11</v>
      </c>
      <c r="K1" s="40" t="s">
        <v>13</v>
      </c>
      <c r="L1" s="40" t="s">
        <v>14</v>
      </c>
      <c r="M1" s="40" t="s">
        <v>15</v>
      </c>
      <c r="N1" s="40" t="s">
        <v>16</v>
      </c>
      <c r="O1" s="40" t="s">
        <v>17</v>
      </c>
      <c r="P1" s="40" t="s">
        <v>18</v>
      </c>
      <c r="Q1" s="73" t="s">
        <v>19</v>
      </c>
    </row>
    <row r="2" spans="1:17">
      <c r="A2" s="48">
        <v>1</v>
      </c>
      <c r="B2" s="48">
        <v>2025</v>
      </c>
      <c r="C2" s="48" t="s">
        <v>353</v>
      </c>
      <c r="D2" s="50">
        <v>1</v>
      </c>
      <c r="E2" s="49">
        <v>14</v>
      </c>
      <c r="F2" s="48" t="s">
        <v>32</v>
      </c>
      <c r="G2" s="48" t="s">
        <v>32</v>
      </c>
      <c r="H2" s="48" t="s">
        <v>354</v>
      </c>
      <c r="I2" s="48" t="s">
        <v>355</v>
      </c>
      <c r="J2" s="50">
        <v>15</v>
      </c>
      <c r="K2" s="48" t="s">
        <v>356</v>
      </c>
      <c r="L2" s="48">
        <v>66708</v>
      </c>
      <c r="M2" s="48"/>
      <c r="N2" s="48" t="s">
        <v>357</v>
      </c>
      <c r="O2" s="48"/>
      <c r="P2" s="48" t="s">
        <v>96</v>
      </c>
      <c r="Q2" s="48"/>
    </row>
    <row r="3" spans="1:17">
      <c r="A3" s="48">
        <v>2</v>
      </c>
      <c r="B3" s="48">
        <v>2025</v>
      </c>
      <c r="C3" s="48" t="s">
        <v>353</v>
      </c>
      <c r="D3" s="50">
        <v>2</v>
      </c>
      <c r="E3" s="49">
        <v>14</v>
      </c>
      <c r="F3" s="48" t="s">
        <v>32</v>
      </c>
      <c r="G3" s="48" t="s">
        <v>32</v>
      </c>
      <c r="H3" s="48" t="s">
        <v>358</v>
      </c>
      <c r="I3" s="48" t="s">
        <v>359</v>
      </c>
      <c r="J3" s="50">
        <v>15</v>
      </c>
      <c r="K3" s="48" t="s">
        <v>356</v>
      </c>
      <c r="L3" s="48">
        <v>47326</v>
      </c>
      <c r="M3" s="48"/>
      <c r="N3" s="48"/>
      <c r="O3" s="48"/>
      <c r="P3" s="48" t="s">
        <v>96</v>
      </c>
      <c r="Q3" s="48"/>
    </row>
    <row r="4" spans="1:17">
      <c r="A4" s="48">
        <v>3</v>
      </c>
      <c r="B4" s="48">
        <v>2025</v>
      </c>
      <c r="C4" s="48" t="s">
        <v>353</v>
      </c>
      <c r="D4" s="50">
        <v>1</v>
      </c>
      <c r="E4" s="49">
        <v>13</v>
      </c>
      <c r="F4" s="48" t="s">
        <v>32</v>
      </c>
      <c r="G4" s="48" t="s">
        <v>32</v>
      </c>
      <c r="H4" s="48" t="s">
        <v>360</v>
      </c>
      <c r="I4" s="48" t="s">
        <v>361</v>
      </c>
      <c r="J4" s="50">
        <v>15</v>
      </c>
      <c r="K4" s="48" t="s">
        <v>356</v>
      </c>
      <c r="L4" s="48">
        <v>58039</v>
      </c>
      <c r="M4" s="48"/>
      <c r="N4" s="48" t="s">
        <v>357</v>
      </c>
      <c r="O4" s="48"/>
      <c r="P4" s="48" t="s">
        <v>96</v>
      </c>
      <c r="Q4" s="48"/>
    </row>
    <row r="5" spans="1:17">
      <c r="A5" s="48">
        <v>4</v>
      </c>
      <c r="B5" s="48">
        <v>2025</v>
      </c>
      <c r="C5" s="48"/>
      <c r="D5" s="50">
        <v>1</v>
      </c>
      <c r="E5" s="49">
        <v>14</v>
      </c>
      <c r="F5" s="48" t="s">
        <v>32</v>
      </c>
      <c r="G5" s="48" t="s">
        <v>32</v>
      </c>
      <c r="H5" s="48" t="s">
        <v>362</v>
      </c>
      <c r="I5" s="48" t="s">
        <v>363</v>
      </c>
      <c r="J5" s="49">
        <v>14</v>
      </c>
      <c r="K5" s="50" t="s">
        <v>364</v>
      </c>
      <c r="L5" s="48">
        <v>62281</v>
      </c>
      <c r="M5" s="48"/>
      <c r="N5" s="48" t="s">
        <v>363</v>
      </c>
      <c r="O5" s="48"/>
      <c r="P5" s="48" t="s">
        <v>365</v>
      </c>
      <c r="Q5" s="48"/>
    </row>
    <row r="6" spans="1:17">
      <c r="A6" s="48">
        <v>5</v>
      </c>
      <c r="B6" s="48">
        <v>2025</v>
      </c>
      <c r="C6" s="48" t="s">
        <v>353</v>
      </c>
      <c r="D6" s="50">
        <v>2</v>
      </c>
      <c r="E6" s="49">
        <v>14</v>
      </c>
      <c r="F6" s="48" t="s">
        <v>32</v>
      </c>
      <c r="G6" s="48" t="s">
        <v>32</v>
      </c>
      <c r="H6" s="48" t="s">
        <v>366</v>
      </c>
      <c r="I6" s="48" t="s">
        <v>359</v>
      </c>
      <c r="J6" s="50">
        <v>15</v>
      </c>
      <c r="K6" s="48" t="s">
        <v>356</v>
      </c>
      <c r="L6" s="48">
        <v>65261</v>
      </c>
      <c r="M6" s="48"/>
      <c r="N6" s="48" t="s">
        <v>359</v>
      </c>
      <c r="O6" s="48"/>
      <c r="P6" s="48" t="s">
        <v>96</v>
      </c>
      <c r="Q6" s="48"/>
    </row>
    <row r="7" spans="1:17">
      <c r="A7" s="48">
        <v>6</v>
      </c>
      <c r="B7" s="48">
        <v>2025</v>
      </c>
      <c r="C7" s="48" t="s">
        <v>353</v>
      </c>
      <c r="D7" s="50">
        <v>2</v>
      </c>
      <c r="E7" s="49">
        <v>15</v>
      </c>
      <c r="F7" s="48" t="s">
        <v>32</v>
      </c>
      <c r="G7" s="48" t="s">
        <v>32</v>
      </c>
      <c r="H7" s="48" t="s">
        <v>367</v>
      </c>
      <c r="I7" s="48" t="s">
        <v>363</v>
      </c>
      <c r="J7" s="50">
        <v>15</v>
      </c>
      <c r="K7" s="48" t="s">
        <v>356</v>
      </c>
      <c r="L7" s="48">
        <v>69788</v>
      </c>
      <c r="M7" s="48"/>
      <c r="N7" s="48" t="s">
        <v>368</v>
      </c>
      <c r="O7" s="48"/>
      <c r="P7" s="48" t="s">
        <v>96</v>
      </c>
      <c r="Q7" s="48"/>
    </row>
    <row r="8" spans="1:17">
      <c r="A8" s="48">
        <v>7</v>
      </c>
      <c r="B8" s="48">
        <v>2025</v>
      </c>
      <c r="C8" s="48" t="s">
        <v>369</v>
      </c>
      <c r="D8" s="50">
        <v>1</v>
      </c>
      <c r="E8" s="49">
        <v>14</v>
      </c>
      <c r="F8" s="48" t="s">
        <v>32</v>
      </c>
      <c r="G8" s="48" t="s">
        <v>32</v>
      </c>
      <c r="H8" s="48" t="s">
        <v>370</v>
      </c>
      <c r="I8" s="48" t="s">
        <v>361</v>
      </c>
      <c r="J8" s="50">
        <v>14</v>
      </c>
      <c r="K8" s="50" t="s">
        <v>364</v>
      </c>
      <c r="L8" s="48">
        <v>64134</v>
      </c>
      <c r="M8" s="48"/>
      <c r="N8" s="48" t="s">
        <v>361</v>
      </c>
      <c r="O8" s="48"/>
      <c r="P8" s="48" t="s">
        <v>96</v>
      </c>
      <c r="Q8" s="48"/>
    </row>
    <row r="9" spans="1:17">
      <c r="A9" s="48">
        <v>8</v>
      </c>
      <c r="B9" s="48">
        <v>2025</v>
      </c>
      <c r="C9" s="48" t="s">
        <v>369</v>
      </c>
      <c r="D9" s="50">
        <v>1</v>
      </c>
      <c r="E9" s="49">
        <v>14</v>
      </c>
      <c r="F9" s="48" t="s">
        <v>32</v>
      </c>
      <c r="G9" s="48" t="s">
        <v>32</v>
      </c>
      <c r="H9" s="48" t="s">
        <v>371</v>
      </c>
      <c r="I9" s="48" t="s">
        <v>359</v>
      </c>
      <c r="J9" s="50">
        <v>14</v>
      </c>
      <c r="K9" s="50" t="s">
        <v>364</v>
      </c>
      <c r="L9" s="48">
        <v>65033</v>
      </c>
      <c r="M9" s="48"/>
      <c r="N9" s="48" t="s">
        <v>359</v>
      </c>
      <c r="O9" s="48"/>
      <c r="P9" s="48" t="s">
        <v>96</v>
      </c>
      <c r="Q9" s="48"/>
    </row>
    <row r="10" spans="1:17">
      <c r="A10" s="48">
        <v>9</v>
      </c>
      <c r="B10" s="48">
        <v>2025</v>
      </c>
      <c r="C10" s="48"/>
      <c r="D10" s="50">
        <v>1</v>
      </c>
      <c r="E10" s="49">
        <v>15</v>
      </c>
      <c r="F10" s="48" t="s">
        <v>32</v>
      </c>
      <c r="G10" s="48" t="s">
        <v>32</v>
      </c>
      <c r="H10" s="48" t="s">
        <v>372</v>
      </c>
      <c r="I10" s="48" t="s">
        <v>355</v>
      </c>
      <c r="J10" s="50"/>
      <c r="K10" s="48" t="s">
        <v>373</v>
      </c>
      <c r="L10" s="48">
        <v>67465</v>
      </c>
      <c r="M10" s="48"/>
      <c r="N10" s="48" t="s">
        <v>355</v>
      </c>
      <c r="O10" s="48"/>
      <c r="P10" s="48" t="s">
        <v>365</v>
      </c>
      <c r="Q10" s="48"/>
    </row>
    <row r="11" spans="1:17">
      <c r="A11" s="48">
        <v>10</v>
      </c>
      <c r="B11" s="48">
        <v>2025</v>
      </c>
      <c r="C11" s="48"/>
      <c r="D11" s="50">
        <v>2</v>
      </c>
      <c r="E11" s="49">
        <v>15</v>
      </c>
      <c r="F11" s="48" t="s">
        <v>32</v>
      </c>
      <c r="G11" s="48" t="s">
        <v>32</v>
      </c>
      <c r="H11" s="48" t="s">
        <v>374</v>
      </c>
      <c r="I11" s="48" t="s">
        <v>355</v>
      </c>
      <c r="J11" s="50"/>
      <c r="K11" s="48" t="s">
        <v>373</v>
      </c>
      <c r="L11" s="48">
        <v>73221</v>
      </c>
      <c r="M11" s="48"/>
      <c r="N11" s="48" t="s">
        <v>355</v>
      </c>
      <c r="O11" s="48"/>
      <c r="P11" s="48" t="s">
        <v>365</v>
      </c>
      <c r="Q11" s="48"/>
    </row>
    <row r="12" spans="1:17">
      <c r="A12" s="48">
        <v>11</v>
      </c>
      <c r="B12" s="48">
        <v>2025</v>
      </c>
      <c r="C12" s="48"/>
      <c r="D12" s="50">
        <v>2</v>
      </c>
      <c r="E12" s="48">
        <v>16</v>
      </c>
      <c r="F12" s="48" t="s">
        <v>32</v>
      </c>
      <c r="G12" s="48" t="s">
        <v>32</v>
      </c>
      <c r="H12" s="48" t="s">
        <v>375</v>
      </c>
      <c r="I12" s="48" t="s">
        <v>376</v>
      </c>
      <c r="J12" s="48"/>
      <c r="K12" s="48" t="s">
        <v>373</v>
      </c>
      <c r="L12" s="48">
        <v>76151</v>
      </c>
      <c r="M12" s="48"/>
      <c r="N12" s="48" t="s">
        <v>377</v>
      </c>
      <c r="O12" s="48"/>
      <c r="P12" s="48" t="s">
        <v>96</v>
      </c>
      <c r="Q12" s="48"/>
    </row>
    <row r="13" spans="1:17">
      <c r="A13" s="48">
        <v>12</v>
      </c>
      <c r="B13" s="48">
        <v>2025</v>
      </c>
      <c r="C13" s="48"/>
      <c r="D13" s="50">
        <v>1</v>
      </c>
      <c r="E13" s="48">
        <v>15</v>
      </c>
      <c r="F13" s="48" t="s">
        <v>32</v>
      </c>
      <c r="G13" s="48" t="s">
        <v>32</v>
      </c>
      <c r="H13" s="48" t="s">
        <v>378</v>
      </c>
      <c r="I13" s="48" t="s">
        <v>368</v>
      </c>
      <c r="J13" s="48"/>
      <c r="K13" s="48" t="s">
        <v>373</v>
      </c>
      <c r="L13" s="48">
        <v>69301</v>
      </c>
      <c r="M13" s="48"/>
      <c r="N13" s="48" t="s">
        <v>368</v>
      </c>
      <c r="O13" s="48"/>
      <c r="P13" s="48" t="s">
        <v>96</v>
      </c>
      <c r="Q13" s="48"/>
    </row>
    <row r="14" spans="1:17">
      <c r="A14" s="48">
        <v>13</v>
      </c>
      <c r="B14" s="48">
        <v>2025</v>
      </c>
      <c r="C14" s="48"/>
      <c r="D14" s="50">
        <v>1</v>
      </c>
      <c r="E14" s="48">
        <v>15</v>
      </c>
      <c r="F14" s="48" t="s">
        <v>32</v>
      </c>
      <c r="G14" s="48" t="s">
        <v>32</v>
      </c>
      <c r="H14" s="48" t="s">
        <v>379</v>
      </c>
      <c r="I14" s="48" t="s">
        <v>363</v>
      </c>
      <c r="J14" s="48"/>
      <c r="K14" s="48" t="s">
        <v>373</v>
      </c>
      <c r="L14" s="48">
        <v>71213</v>
      </c>
      <c r="M14" s="48"/>
      <c r="N14" s="48" t="s">
        <v>355</v>
      </c>
      <c r="O14" s="48"/>
      <c r="P14" s="48" t="s">
        <v>96</v>
      </c>
      <c r="Q14" s="48"/>
    </row>
    <row r="15" spans="1:17">
      <c r="A15" s="48">
        <v>14</v>
      </c>
      <c r="B15" s="48">
        <v>2025</v>
      </c>
      <c r="C15" s="48"/>
      <c r="D15" s="50">
        <v>2</v>
      </c>
      <c r="E15" s="48">
        <v>15</v>
      </c>
      <c r="F15" s="48" t="s">
        <v>32</v>
      </c>
      <c r="G15" s="48" t="s">
        <v>32</v>
      </c>
      <c r="H15" s="48" t="s">
        <v>380</v>
      </c>
      <c r="I15" s="48" t="s">
        <v>381</v>
      </c>
      <c r="J15" s="48"/>
      <c r="K15" s="48" t="s">
        <v>373</v>
      </c>
      <c r="L15" s="48">
        <v>74017</v>
      </c>
      <c r="M15" s="48"/>
      <c r="N15" s="48" t="s">
        <v>368</v>
      </c>
      <c r="O15" s="48"/>
      <c r="P15" s="48" t="s">
        <v>365</v>
      </c>
      <c r="Q15" s="48"/>
    </row>
    <row r="16" spans="1:17">
      <c r="A16" s="48">
        <v>15</v>
      </c>
      <c r="B16" s="48">
        <v>2025</v>
      </c>
      <c r="C16" s="48"/>
      <c r="D16" s="50">
        <v>2</v>
      </c>
      <c r="E16" s="48">
        <v>15</v>
      </c>
      <c r="F16" s="48" t="s">
        <v>32</v>
      </c>
      <c r="G16" s="48" t="s">
        <v>32</v>
      </c>
      <c r="H16" s="48" t="s">
        <v>382</v>
      </c>
      <c r="I16" s="48" t="s">
        <v>355</v>
      </c>
      <c r="J16" s="48"/>
      <c r="K16" s="48" t="s">
        <v>373</v>
      </c>
      <c r="L16" s="48">
        <v>60221</v>
      </c>
      <c r="M16" s="48"/>
      <c r="N16" s="48" t="s">
        <v>355</v>
      </c>
      <c r="O16" s="48"/>
      <c r="P16" s="48" t="s">
        <v>96</v>
      </c>
      <c r="Q16" s="48"/>
    </row>
    <row r="17" spans="1:17">
      <c r="A17" s="48">
        <v>16</v>
      </c>
      <c r="B17" s="48">
        <v>2025</v>
      </c>
      <c r="C17" s="48"/>
      <c r="D17" s="50">
        <v>1</v>
      </c>
      <c r="E17" s="49">
        <v>14</v>
      </c>
      <c r="F17" s="48" t="s">
        <v>29</v>
      </c>
      <c r="G17" s="48" t="s">
        <v>29</v>
      </c>
      <c r="H17" s="48" t="s">
        <v>383</v>
      </c>
      <c r="I17" s="48"/>
      <c r="J17" s="49">
        <v>14</v>
      </c>
      <c r="K17" s="50" t="s">
        <v>364</v>
      </c>
      <c r="L17" s="48">
        <v>67792</v>
      </c>
      <c r="M17" s="48"/>
      <c r="N17" s="48"/>
      <c r="O17" s="48"/>
      <c r="P17" s="48" t="s">
        <v>96</v>
      </c>
      <c r="Q17" s="48"/>
    </row>
    <row r="18" spans="1:17">
      <c r="A18" s="48">
        <v>17</v>
      </c>
      <c r="B18" s="48">
        <v>2025</v>
      </c>
      <c r="C18" s="48"/>
      <c r="D18" s="50">
        <v>1</v>
      </c>
      <c r="E18" s="49">
        <v>14</v>
      </c>
      <c r="F18" s="48" t="s">
        <v>29</v>
      </c>
      <c r="G18" s="48" t="s">
        <v>29</v>
      </c>
      <c r="H18" s="48" t="s">
        <v>384</v>
      </c>
      <c r="I18" s="48"/>
      <c r="J18" s="49">
        <v>14</v>
      </c>
      <c r="K18" s="50" t="s">
        <v>364</v>
      </c>
      <c r="L18" s="48">
        <v>67862</v>
      </c>
      <c r="M18" s="48"/>
      <c r="N18" s="48"/>
      <c r="O18" s="48"/>
      <c r="P18" s="48" t="s">
        <v>96</v>
      </c>
      <c r="Q18" s="48"/>
    </row>
    <row r="19" spans="1:17">
      <c r="A19" s="48">
        <v>18</v>
      </c>
      <c r="B19" s="48">
        <v>2025</v>
      </c>
      <c r="C19" s="48"/>
      <c r="D19" s="50">
        <v>1</v>
      </c>
      <c r="E19" s="49">
        <v>15</v>
      </c>
      <c r="F19" s="48" t="s">
        <v>29</v>
      </c>
      <c r="G19" s="48" t="s">
        <v>29</v>
      </c>
      <c r="H19" s="48" t="s">
        <v>385</v>
      </c>
      <c r="I19" s="48" t="s">
        <v>305</v>
      </c>
      <c r="J19" s="49">
        <v>15</v>
      </c>
      <c r="K19" s="50" t="s">
        <v>364</v>
      </c>
      <c r="L19" s="48">
        <v>71854</v>
      </c>
      <c r="M19" s="48"/>
      <c r="N19" s="48" t="s">
        <v>305</v>
      </c>
      <c r="O19" s="48"/>
      <c r="P19" s="48" t="s">
        <v>96</v>
      </c>
      <c r="Q19" s="48" t="s">
        <v>386</v>
      </c>
    </row>
    <row r="20" spans="1:17">
      <c r="A20" s="48">
        <v>19</v>
      </c>
      <c r="B20" s="48">
        <v>2025</v>
      </c>
      <c r="C20" s="48"/>
      <c r="D20" s="50">
        <v>1</v>
      </c>
      <c r="E20" s="48">
        <v>14</v>
      </c>
      <c r="F20" s="48" t="s">
        <v>44</v>
      </c>
      <c r="G20" s="48" t="s">
        <v>44</v>
      </c>
      <c r="H20" s="48" t="s">
        <v>387</v>
      </c>
      <c r="I20" s="48" t="s">
        <v>388</v>
      </c>
      <c r="J20" s="48">
        <v>15</v>
      </c>
      <c r="K20" s="50" t="s">
        <v>364</v>
      </c>
      <c r="L20" s="48">
        <v>66111</v>
      </c>
      <c r="M20" s="48"/>
      <c r="N20" s="48" t="s">
        <v>388</v>
      </c>
      <c r="O20" s="48"/>
      <c r="P20" s="48" t="s">
        <v>96</v>
      </c>
      <c r="Q20" s="48"/>
    </row>
    <row r="21" spans="1:17">
      <c r="A21" s="48">
        <v>20</v>
      </c>
      <c r="B21" s="48">
        <v>2025</v>
      </c>
      <c r="C21" s="48"/>
      <c r="D21" s="50">
        <v>1</v>
      </c>
      <c r="E21" s="48">
        <v>14</v>
      </c>
      <c r="F21" s="48" t="s">
        <v>44</v>
      </c>
      <c r="G21" s="48" t="s">
        <v>44</v>
      </c>
      <c r="H21" s="48" t="s">
        <v>389</v>
      </c>
      <c r="I21" s="48" t="s">
        <v>388</v>
      </c>
      <c r="J21" s="48">
        <v>14</v>
      </c>
      <c r="K21" s="50" t="s">
        <v>364</v>
      </c>
      <c r="L21" s="48">
        <v>53863</v>
      </c>
      <c r="M21" s="48"/>
      <c r="N21" s="48" t="s">
        <v>388</v>
      </c>
      <c r="O21" s="48"/>
      <c r="P21" s="48" t="s">
        <v>96</v>
      </c>
      <c r="Q21" s="48"/>
    </row>
    <row r="22" spans="1:17">
      <c r="A22" s="48">
        <v>21</v>
      </c>
      <c r="B22" s="48">
        <v>2025</v>
      </c>
      <c r="C22" s="48"/>
      <c r="D22" s="50">
        <v>1</v>
      </c>
      <c r="E22" s="48">
        <v>14</v>
      </c>
      <c r="F22" s="48" t="s">
        <v>44</v>
      </c>
      <c r="G22" s="48" t="s">
        <v>44</v>
      </c>
      <c r="H22" s="48" t="s">
        <v>390</v>
      </c>
      <c r="I22" s="48" t="s">
        <v>388</v>
      </c>
      <c r="J22" s="48">
        <v>15</v>
      </c>
      <c r="K22" s="50" t="s">
        <v>364</v>
      </c>
      <c r="L22" s="48">
        <v>52563</v>
      </c>
      <c r="M22" s="48"/>
      <c r="N22" s="48" t="s">
        <v>355</v>
      </c>
      <c r="O22" s="48"/>
      <c r="P22" s="48" t="s">
        <v>96</v>
      </c>
      <c r="Q22" s="48"/>
    </row>
    <row r="23" spans="1:17" ht="150">
      <c r="A23" s="48">
        <v>22</v>
      </c>
      <c r="B23" s="48">
        <v>2025</v>
      </c>
      <c r="C23" s="48"/>
      <c r="D23" s="50">
        <v>2</v>
      </c>
      <c r="E23" s="48">
        <v>14</v>
      </c>
      <c r="F23" s="48" t="s">
        <v>44</v>
      </c>
      <c r="G23" s="48" t="s">
        <v>44</v>
      </c>
      <c r="H23" s="48" t="s">
        <v>391</v>
      </c>
      <c r="I23" s="48" t="s">
        <v>388</v>
      </c>
      <c r="J23" s="48">
        <v>14</v>
      </c>
      <c r="K23" s="48" t="s">
        <v>356</v>
      </c>
      <c r="L23" s="48">
        <v>22271</v>
      </c>
      <c r="M23" s="48"/>
      <c r="N23" s="48" t="s">
        <v>355</v>
      </c>
      <c r="O23" s="48"/>
      <c r="P23" s="48" t="s">
        <v>96</v>
      </c>
      <c r="Q23" s="70" t="s">
        <v>392</v>
      </c>
    </row>
    <row r="24" spans="1:17" ht="150">
      <c r="A24" s="71">
        <v>23</v>
      </c>
      <c r="B24" s="71">
        <v>2025</v>
      </c>
      <c r="C24" s="71"/>
      <c r="D24" s="72">
        <v>2</v>
      </c>
      <c r="E24" s="71">
        <v>14</v>
      </c>
      <c r="F24" s="71" t="s">
        <v>44</v>
      </c>
      <c r="G24" s="71" t="s">
        <v>44</v>
      </c>
      <c r="H24" s="71" t="s">
        <v>393</v>
      </c>
      <c r="I24" s="71" t="s">
        <v>394</v>
      </c>
      <c r="J24" s="71">
        <v>14</v>
      </c>
      <c r="K24" s="71" t="s">
        <v>356</v>
      </c>
      <c r="L24" s="71">
        <v>60957</v>
      </c>
      <c r="M24" s="71"/>
      <c r="N24" s="71" t="s">
        <v>355</v>
      </c>
      <c r="O24" s="71"/>
      <c r="P24" s="71" t="s">
        <v>96</v>
      </c>
      <c r="Q24" s="74" t="s">
        <v>392</v>
      </c>
    </row>
    <row r="25" spans="1:17" ht="150">
      <c r="A25" s="48">
        <v>24</v>
      </c>
      <c r="B25" s="48">
        <v>2025</v>
      </c>
      <c r="C25" s="48"/>
      <c r="D25" s="50">
        <v>2</v>
      </c>
      <c r="E25" s="48">
        <v>14</v>
      </c>
      <c r="F25" s="48" t="s">
        <v>44</v>
      </c>
      <c r="G25" s="48" t="s">
        <v>44</v>
      </c>
      <c r="H25" s="48" t="s">
        <v>395</v>
      </c>
      <c r="I25" s="48" t="s">
        <v>394</v>
      </c>
      <c r="J25" s="48">
        <v>14</v>
      </c>
      <c r="K25" s="48" t="s">
        <v>356</v>
      </c>
      <c r="L25" s="48">
        <v>51984</v>
      </c>
      <c r="M25" s="48"/>
      <c r="N25" s="48" t="s">
        <v>355</v>
      </c>
      <c r="O25" s="48"/>
      <c r="P25" s="48" t="s">
        <v>96</v>
      </c>
      <c r="Q25" s="70" t="s">
        <v>392</v>
      </c>
    </row>
    <row r="26" spans="1:17">
      <c r="A26" s="48">
        <v>25</v>
      </c>
      <c r="B26" s="48">
        <v>2025</v>
      </c>
      <c r="C26" s="48"/>
      <c r="D26" s="50">
        <v>2</v>
      </c>
      <c r="E26" s="48">
        <v>15</v>
      </c>
      <c r="F26" s="48" t="s">
        <v>44</v>
      </c>
      <c r="G26" s="48" t="s">
        <v>44</v>
      </c>
      <c r="H26" s="48" t="s">
        <v>396</v>
      </c>
      <c r="I26" s="48" t="s">
        <v>388</v>
      </c>
      <c r="J26" s="48">
        <v>15</v>
      </c>
      <c r="K26" s="48" t="s">
        <v>356</v>
      </c>
      <c r="L26" s="48">
        <v>71558</v>
      </c>
      <c r="M26" s="48"/>
      <c r="N26" s="48" t="s">
        <v>355</v>
      </c>
      <c r="O26" s="48"/>
      <c r="P26" s="48" t="s">
        <v>96</v>
      </c>
      <c r="Q26" s="48" t="s">
        <v>397</v>
      </c>
    </row>
    <row r="27" spans="1:17">
      <c r="A27" s="48">
        <v>26</v>
      </c>
      <c r="B27" s="48">
        <v>2025</v>
      </c>
      <c r="C27" s="48"/>
      <c r="D27" s="50">
        <v>1</v>
      </c>
      <c r="E27" s="48">
        <v>16</v>
      </c>
      <c r="F27" s="48" t="s">
        <v>44</v>
      </c>
      <c r="G27" s="48" t="s">
        <v>44</v>
      </c>
      <c r="H27" s="48" t="s">
        <v>398</v>
      </c>
      <c r="I27" s="48" t="s">
        <v>399</v>
      </c>
      <c r="J27" s="48"/>
      <c r="K27" s="48" t="s">
        <v>400</v>
      </c>
      <c r="L27" s="48">
        <v>74591</v>
      </c>
      <c r="M27" s="48"/>
      <c r="N27" s="48"/>
      <c r="O27" s="48"/>
      <c r="P27" s="48"/>
      <c r="Q27" s="48"/>
    </row>
    <row r="28" spans="1:17">
      <c r="A28" s="48">
        <v>27</v>
      </c>
      <c r="B28" s="48">
        <v>2025</v>
      </c>
      <c r="C28" s="48"/>
      <c r="D28" s="50">
        <v>1</v>
      </c>
      <c r="E28" s="48">
        <v>13</v>
      </c>
      <c r="F28" s="48" t="s">
        <v>37</v>
      </c>
      <c r="G28" s="48" t="s">
        <v>37</v>
      </c>
      <c r="H28" s="48" t="s">
        <v>401</v>
      </c>
      <c r="I28" s="48" t="s">
        <v>394</v>
      </c>
      <c r="J28" s="48">
        <v>14</v>
      </c>
      <c r="K28" s="50" t="s">
        <v>364</v>
      </c>
      <c r="L28" s="48">
        <v>61667</v>
      </c>
      <c r="M28" s="48"/>
      <c r="N28" s="48" t="s">
        <v>345</v>
      </c>
      <c r="O28" s="48"/>
      <c r="P28" s="48" t="s">
        <v>96</v>
      </c>
      <c r="Q28" s="48"/>
    </row>
    <row r="29" spans="1:17">
      <c r="A29" s="48">
        <v>28</v>
      </c>
      <c r="B29" s="48">
        <v>2025</v>
      </c>
      <c r="C29" s="48"/>
      <c r="D29" s="50">
        <v>2</v>
      </c>
      <c r="E29" s="48">
        <v>12</v>
      </c>
      <c r="F29" s="48" t="s">
        <v>37</v>
      </c>
      <c r="G29" s="48" t="s">
        <v>37</v>
      </c>
      <c r="H29" s="48" t="s">
        <v>402</v>
      </c>
      <c r="I29" s="48" t="s">
        <v>394</v>
      </c>
      <c r="J29" s="48">
        <v>14</v>
      </c>
      <c r="K29" s="50" t="s">
        <v>364</v>
      </c>
      <c r="L29" s="48">
        <v>57827</v>
      </c>
      <c r="M29" s="48"/>
      <c r="N29" s="48" t="s">
        <v>345</v>
      </c>
      <c r="O29" s="48"/>
      <c r="P29" s="48" t="s">
        <v>96</v>
      </c>
      <c r="Q29" s="48"/>
    </row>
    <row r="30" spans="1:17">
      <c r="A30" s="48">
        <v>29</v>
      </c>
      <c r="B30" s="48">
        <v>2025</v>
      </c>
      <c r="C30" s="48"/>
      <c r="D30" s="50">
        <v>1</v>
      </c>
      <c r="E30" s="48">
        <v>14</v>
      </c>
      <c r="F30" s="48" t="s">
        <v>37</v>
      </c>
      <c r="G30" s="48" t="s">
        <v>37</v>
      </c>
      <c r="H30" s="48" t="s">
        <v>403</v>
      </c>
      <c r="I30" s="48" t="s">
        <v>345</v>
      </c>
      <c r="J30" s="48">
        <v>15</v>
      </c>
      <c r="K30" s="50" t="s">
        <v>364</v>
      </c>
      <c r="L30" s="48">
        <v>65259</v>
      </c>
      <c r="M30" s="48"/>
      <c r="N30" s="48" t="s">
        <v>345</v>
      </c>
      <c r="O30" s="48"/>
      <c r="P30" s="48" t="s">
        <v>96</v>
      </c>
      <c r="Q30" s="48"/>
    </row>
    <row r="31" spans="1:17">
      <c r="A31" s="48">
        <v>30</v>
      </c>
      <c r="B31" s="48">
        <v>2025</v>
      </c>
      <c r="C31" s="48"/>
      <c r="D31" s="50">
        <v>2</v>
      </c>
      <c r="E31" s="48">
        <v>14</v>
      </c>
      <c r="F31" s="48" t="s">
        <v>37</v>
      </c>
      <c r="G31" s="48" t="s">
        <v>37</v>
      </c>
      <c r="H31" s="48" t="s">
        <v>404</v>
      </c>
      <c r="I31" s="48" t="s">
        <v>405</v>
      </c>
      <c r="J31" s="48">
        <v>15</v>
      </c>
      <c r="K31" s="50" t="s">
        <v>364</v>
      </c>
      <c r="L31" s="48">
        <v>65259</v>
      </c>
      <c r="M31" s="48"/>
      <c r="N31" s="48" t="s">
        <v>345</v>
      </c>
      <c r="O31" s="48"/>
      <c r="P31" s="48" t="s">
        <v>96</v>
      </c>
      <c r="Q31" s="48" t="s">
        <v>406</v>
      </c>
    </row>
    <row r="32" spans="1:17">
      <c r="A32" s="48">
        <v>31</v>
      </c>
      <c r="B32" s="48">
        <v>2025</v>
      </c>
      <c r="C32" s="48"/>
      <c r="D32" s="50">
        <v>2</v>
      </c>
      <c r="E32" s="48">
        <v>14</v>
      </c>
      <c r="F32" s="48" t="s">
        <v>37</v>
      </c>
      <c r="G32" s="48" t="s">
        <v>37</v>
      </c>
      <c r="H32" s="48" t="s">
        <v>407</v>
      </c>
      <c r="I32" s="48" t="s">
        <v>405</v>
      </c>
      <c r="J32" s="48">
        <v>15</v>
      </c>
      <c r="K32" s="50" t="s">
        <v>364</v>
      </c>
      <c r="L32" s="48">
        <v>71553</v>
      </c>
      <c r="M32" s="48"/>
      <c r="N32" s="48" t="s">
        <v>345</v>
      </c>
      <c r="O32" s="48"/>
      <c r="P32" s="48" t="s">
        <v>96</v>
      </c>
      <c r="Q32" s="48" t="s">
        <v>406</v>
      </c>
    </row>
    <row r="33" spans="1:17">
      <c r="A33" s="48">
        <v>32</v>
      </c>
      <c r="B33" s="48">
        <v>2025</v>
      </c>
      <c r="C33" s="48" t="s">
        <v>408</v>
      </c>
      <c r="D33" s="50">
        <v>2</v>
      </c>
      <c r="E33" s="48">
        <v>16</v>
      </c>
      <c r="F33" s="48" t="s">
        <v>37</v>
      </c>
      <c r="G33" s="48" t="s">
        <v>37</v>
      </c>
      <c r="H33" s="48" t="s">
        <v>409</v>
      </c>
      <c r="I33" s="48" t="s">
        <v>410</v>
      </c>
      <c r="J33" s="48"/>
      <c r="K33" s="48" t="s">
        <v>373</v>
      </c>
      <c r="L33" s="48">
        <v>76366</v>
      </c>
      <c r="M33" s="48"/>
      <c r="N33" s="48" t="s">
        <v>345</v>
      </c>
      <c r="O33" s="48"/>
      <c r="P33" s="48" t="s">
        <v>96</v>
      </c>
      <c r="Q33" s="47"/>
    </row>
    <row r="34" spans="1:17">
      <c r="A34" s="48">
        <v>33</v>
      </c>
      <c r="B34" s="48">
        <v>2025</v>
      </c>
      <c r="C34" s="48" t="s">
        <v>408</v>
      </c>
      <c r="D34" s="50">
        <v>2</v>
      </c>
      <c r="E34" s="48">
        <v>14</v>
      </c>
      <c r="F34" s="48" t="s">
        <v>26</v>
      </c>
      <c r="G34" s="48" t="s">
        <v>26</v>
      </c>
      <c r="H34" s="48" t="s">
        <v>411</v>
      </c>
      <c r="I34" s="48" t="s">
        <v>376</v>
      </c>
      <c r="J34" s="48">
        <v>16</v>
      </c>
      <c r="K34" s="48" t="s">
        <v>356</v>
      </c>
      <c r="L34" s="48">
        <v>67409</v>
      </c>
      <c r="M34" s="48"/>
      <c r="N34" s="48" t="s">
        <v>412</v>
      </c>
      <c r="O34" s="48"/>
      <c r="P34" s="48" t="s">
        <v>96</v>
      </c>
      <c r="Q34" s="47"/>
    </row>
    <row r="35" spans="1:17">
      <c r="A35" s="48">
        <v>34</v>
      </c>
      <c r="B35" s="48">
        <v>2025</v>
      </c>
      <c r="C35" s="48" t="s">
        <v>408</v>
      </c>
      <c r="D35" s="50">
        <v>2</v>
      </c>
      <c r="E35" s="48">
        <v>14</v>
      </c>
      <c r="F35" s="48" t="s">
        <v>26</v>
      </c>
      <c r="G35" s="48" t="s">
        <v>26</v>
      </c>
      <c r="H35" s="48" t="s">
        <v>413</v>
      </c>
      <c r="I35" s="48" t="s">
        <v>359</v>
      </c>
      <c r="J35" s="48">
        <v>16</v>
      </c>
      <c r="K35" s="48" t="s">
        <v>356</v>
      </c>
      <c r="L35" s="48">
        <v>66955</v>
      </c>
      <c r="M35" s="48"/>
      <c r="N35" s="48" t="s">
        <v>368</v>
      </c>
      <c r="O35" s="48"/>
      <c r="P35" s="48" t="s">
        <v>96</v>
      </c>
      <c r="Q35" s="47"/>
    </row>
    <row r="36" spans="1:17">
      <c r="A36" s="48">
        <v>35</v>
      </c>
      <c r="B36" s="48">
        <v>2025</v>
      </c>
      <c r="C36" s="48" t="s">
        <v>408</v>
      </c>
      <c r="D36" s="50">
        <v>2</v>
      </c>
      <c r="E36" s="48">
        <v>14</v>
      </c>
      <c r="F36" s="48" t="s">
        <v>26</v>
      </c>
      <c r="G36" s="48" t="s">
        <v>26</v>
      </c>
      <c r="H36" s="48" t="s">
        <v>414</v>
      </c>
      <c r="I36" s="48" t="s">
        <v>376</v>
      </c>
      <c r="J36" s="48">
        <v>16</v>
      </c>
      <c r="K36" s="48" t="s">
        <v>356</v>
      </c>
      <c r="L36" s="48">
        <v>60856</v>
      </c>
      <c r="M36" s="48"/>
      <c r="N36" s="48" t="s">
        <v>368</v>
      </c>
      <c r="O36" s="48"/>
      <c r="P36" s="48" t="s">
        <v>96</v>
      </c>
      <c r="Q36" s="47"/>
    </row>
    <row r="37" spans="1:17">
      <c r="A37" s="48">
        <v>36</v>
      </c>
      <c r="B37" s="48">
        <v>2025</v>
      </c>
      <c r="C37" s="48"/>
      <c r="D37" s="50">
        <v>2</v>
      </c>
      <c r="E37" s="48">
        <v>15</v>
      </c>
      <c r="F37" s="48" t="s">
        <v>26</v>
      </c>
      <c r="G37" s="48" t="s">
        <v>26</v>
      </c>
      <c r="H37" s="48" t="s">
        <v>415</v>
      </c>
      <c r="I37" s="48" t="s">
        <v>376</v>
      </c>
      <c r="J37" s="48">
        <v>16</v>
      </c>
      <c r="K37" s="48" t="s">
        <v>373</v>
      </c>
      <c r="L37" s="48">
        <v>69405</v>
      </c>
      <c r="M37" s="48"/>
      <c r="N37" s="48" t="s">
        <v>368</v>
      </c>
      <c r="O37" s="48"/>
      <c r="P37" s="48" t="s">
        <v>96</v>
      </c>
      <c r="Q37" s="47"/>
    </row>
    <row r="38" spans="1:17">
      <c r="A38" s="48">
        <v>37</v>
      </c>
      <c r="B38" s="48">
        <v>2025</v>
      </c>
      <c r="C38" s="48"/>
      <c r="D38" s="50">
        <v>2</v>
      </c>
      <c r="E38" s="48">
        <v>15</v>
      </c>
      <c r="F38" s="48" t="s">
        <v>26</v>
      </c>
      <c r="G38" s="48" t="s">
        <v>26</v>
      </c>
      <c r="H38" s="48" t="s">
        <v>416</v>
      </c>
      <c r="I38" s="48" t="s">
        <v>376</v>
      </c>
      <c r="J38" s="48">
        <v>15</v>
      </c>
      <c r="K38" s="48" t="s">
        <v>373</v>
      </c>
      <c r="L38" s="48">
        <v>68957</v>
      </c>
      <c r="M38" s="48"/>
      <c r="N38" s="48" t="s">
        <v>368</v>
      </c>
      <c r="O38" s="48"/>
      <c r="P38" s="48" t="s">
        <v>96</v>
      </c>
      <c r="Q38" s="47"/>
    </row>
    <row r="39" spans="1:17">
      <c r="A39" s="48">
        <v>38</v>
      </c>
      <c r="B39" s="48">
        <v>2025</v>
      </c>
      <c r="C39" s="48"/>
      <c r="D39" s="50">
        <v>2</v>
      </c>
      <c r="E39" s="48">
        <v>15</v>
      </c>
      <c r="F39" s="48" t="s">
        <v>26</v>
      </c>
      <c r="G39" s="48" t="s">
        <v>26</v>
      </c>
      <c r="H39" s="48" t="s">
        <v>417</v>
      </c>
      <c r="I39" s="48" t="s">
        <v>359</v>
      </c>
      <c r="J39" s="48">
        <v>16</v>
      </c>
      <c r="K39" s="48" t="s">
        <v>418</v>
      </c>
      <c r="L39" s="48">
        <v>73439</v>
      </c>
      <c r="M39" s="48"/>
      <c r="N39" s="48" t="s">
        <v>368</v>
      </c>
      <c r="O39" s="48"/>
      <c r="P39" s="48" t="s">
        <v>96</v>
      </c>
      <c r="Q39" s="47"/>
    </row>
  </sheetData>
  <autoFilter ref="A1:Q1" xr:uid="{297D71EA-65A5-4676-8D84-202323137575}"/>
  <conditionalFormatting sqref="D1">
    <cfRule type="cellIs" dxfId="46" priority="26" operator="equal">
      <formula>3</formula>
    </cfRule>
    <cfRule type="cellIs" dxfId="45" priority="27" operator="equal">
      <formula>2</formula>
    </cfRule>
    <cfRule type="cellIs" dxfId="44" priority="28" operator="equal">
      <formula>1</formula>
    </cfRule>
  </conditionalFormatting>
  <conditionalFormatting sqref="I2:J2 K17:K22">
    <cfRule type="cellIs" dxfId="43" priority="29" operator="equal">
      <formula>"en regional"</formula>
    </cfRule>
    <cfRule type="cellIs" dxfId="42" priority="30" operator="equal">
      <formula>"regional"</formula>
    </cfRule>
    <cfRule type="cellIs" dxfId="41" priority="31" operator="equal">
      <formula>"asignado a dev"</formula>
    </cfRule>
    <cfRule type="cellIs" dxfId="40" priority="32" operator="equal">
      <formula>"seguimiento soporte"</formula>
    </cfRule>
    <cfRule type="cellIs" dxfId="39" priority="33" operator="equal">
      <formula>"solventado"</formula>
    </cfRule>
  </conditionalFormatting>
  <conditionalFormatting sqref="K5">
    <cfRule type="cellIs" dxfId="38" priority="21" operator="equal">
      <formula>"en regional"</formula>
    </cfRule>
    <cfRule type="cellIs" dxfId="37" priority="22" operator="equal">
      <formula>"regional"</formula>
    </cfRule>
    <cfRule type="cellIs" dxfId="36" priority="23" operator="equal">
      <formula>"asignado a dev"</formula>
    </cfRule>
    <cfRule type="cellIs" dxfId="35" priority="24" operator="equal">
      <formula>"seguimiento soporte"</formula>
    </cfRule>
    <cfRule type="cellIs" dxfId="34" priority="25" operator="equal">
      <formula>"solventado"</formula>
    </cfRule>
  </conditionalFormatting>
  <conditionalFormatting sqref="K8:K9">
    <cfRule type="cellIs" dxfId="33" priority="16" operator="equal">
      <formula>"en regional"</formula>
    </cfRule>
    <cfRule type="cellIs" dxfId="32" priority="17" operator="equal">
      <formula>"regional"</formula>
    </cfRule>
    <cfRule type="cellIs" dxfId="31" priority="18" operator="equal">
      <formula>"asignado a dev"</formula>
    </cfRule>
    <cfRule type="cellIs" dxfId="30" priority="19" operator="equal">
      <formula>"seguimiento soporte"</formula>
    </cfRule>
    <cfRule type="cellIs" dxfId="29" priority="20" operator="equal">
      <formula>"solventado"</formula>
    </cfRule>
  </conditionalFormatting>
  <conditionalFormatting sqref="K28:K32">
    <cfRule type="cellIs" dxfId="28" priority="1" operator="equal">
      <formula>"en regional"</formula>
    </cfRule>
    <cfRule type="cellIs" dxfId="27" priority="2" operator="equal">
      <formula>"regional"</formula>
    </cfRule>
    <cfRule type="cellIs" dxfId="26" priority="3" operator="equal">
      <formula>"asignado a dev"</formula>
    </cfRule>
    <cfRule type="cellIs" dxfId="25" priority="4" operator="equal">
      <formula>"seguimiento soporte"</formula>
    </cfRule>
    <cfRule type="cellIs" dxfId="24" priority="5" operator="equal">
      <formula>"solventado"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C925-3D1C-44B3-B380-5ECC4C848827}">
  <sheetPr codeName="Hoja4"/>
  <dimension ref="A1:P28"/>
  <sheetViews>
    <sheetView topLeftCell="D1" workbookViewId="0">
      <pane xSplit="4" ySplit="1" topLeftCell="M16" activePane="bottomRight" state="frozen"/>
      <selection pane="topRight"/>
      <selection pane="bottomLeft"/>
      <selection pane="bottomRight" activeCell="M16" sqref="M16"/>
    </sheetView>
  </sheetViews>
  <sheetFormatPr baseColWidth="10" defaultColWidth="9.140625" defaultRowHeight="15"/>
  <cols>
    <col min="1" max="1" width="9.140625" style="6"/>
    <col min="2" max="2" width="13.85546875" style="6" bestFit="1" customWidth="1"/>
    <col min="3" max="3" width="13.85546875" style="58" customWidth="1"/>
    <col min="4" max="5" width="13.85546875" style="6" customWidth="1"/>
    <col min="6" max="6" width="6.85546875" style="6" bestFit="1" customWidth="1"/>
    <col min="7" max="7" width="57" style="46" customWidth="1"/>
    <col min="8" max="8" width="16.5703125" style="44" bestFit="1" customWidth="1"/>
    <col min="9" max="9" width="31.42578125" style="44" customWidth="1"/>
    <col min="10" max="10" width="20.85546875" style="44" customWidth="1"/>
    <col min="11" max="11" width="16.5703125" style="6" bestFit="1" customWidth="1"/>
    <col min="12" max="12" width="11.85546875" style="6" customWidth="1"/>
    <col min="13" max="14" width="13.5703125" style="6" customWidth="1"/>
    <col min="15" max="15" width="13.7109375" style="6" customWidth="1"/>
    <col min="16" max="16" width="13.7109375" style="57" customWidth="1"/>
    <col min="17" max="16384" width="9.140625" style="45"/>
  </cols>
  <sheetData>
    <row r="1" spans="1:16" s="21" customFormat="1" ht="30">
      <c r="A1" s="40" t="s">
        <v>419</v>
      </c>
      <c r="B1" s="40" t="s">
        <v>420</v>
      </c>
      <c r="C1" s="53" t="s">
        <v>421</v>
      </c>
      <c r="D1" s="40" t="s">
        <v>420</v>
      </c>
      <c r="E1" s="40" t="s">
        <v>421</v>
      </c>
      <c r="F1" s="40" t="s">
        <v>18</v>
      </c>
      <c r="G1" s="40" t="s">
        <v>422</v>
      </c>
      <c r="H1" s="41" t="s">
        <v>12</v>
      </c>
      <c r="I1" s="41" t="s">
        <v>423</v>
      </c>
      <c r="J1" s="41" t="s">
        <v>424</v>
      </c>
      <c r="K1" s="40" t="s">
        <v>425</v>
      </c>
      <c r="L1" s="40" t="s">
        <v>426</v>
      </c>
      <c r="M1" s="40" t="s">
        <v>427</v>
      </c>
      <c r="N1" s="40" t="s">
        <v>428</v>
      </c>
      <c r="O1" s="40" t="s">
        <v>429</v>
      </c>
      <c r="P1" s="56" t="s">
        <v>430</v>
      </c>
    </row>
    <row r="2" spans="1:16" ht="30">
      <c r="C2" s="54">
        <v>63412</v>
      </c>
      <c r="D2" s="65" t="s">
        <v>32</v>
      </c>
      <c r="E2" s="65"/>
      <c r="F2" s="66" t="s">
        <v>431</v>
      </c>
      <c r="G2" s="67" t="s">
        <v>432</v>
      </c>
      <c r="H2" s="68">
        <v>45762.474999999999</v>
      </c>
      <c r="I2" s="66" t="s">
        <v>433</v>
      </c>
      <c r="J2" s="66">
        <v>133</v>
      </c>
      <c r="K2" s="69"/>
      <c r="L2" s="55"/>
      <c r="M2" s="55">
        <v>61</v>
      </c>
      <c r="N2" s="66" t="s">
        <v>434</v>
      </c>
      <c r="O2" s="55">
        <f>+J2-M2</f>
        <v>72</v>
      </c>
      <c r="P2" s="57">
        <f t="shared" ref="P2:P11" si="0">+(M2-J2)/J2</f>
        <v>-0.54135338345864659</v>
      </c>
    </row>
    <row r="3" spans="1:16" ht="30">
      <c r="C3" s="54">
        <v>73273</v>
      </c>
      <c r="D3" s="54" t="s">
        <v>29</v>
      </c>
      <c r="E3" s="54"/>
      <c r="F3" s="42" t="s">
        <v>431</v>
      </c>
      <c r="G3" s="43" t="s">
        <v>435</v>
      </c>
      <c r="H3" s="51">
        <v>45819.472222222219</v>
      </c>
      <c r="I3" s="42" t="s">
        <v>436</v>
      </c>
      <c r="J3" s="42">
        <v>1</v>
      </c>
      <c r="K3" s="52"/>
      <c r="M3" s="6">
        <v>1</v>
      </c>
      <c r="N3" s="42" t="s">
        <v>434</v>
      </c>
      <c r="O3" s="6">
        <f t="shared" ref="O3:O28" si="1">+J3-M3</f>
        <v>0</v>
      </c>
      <c r="P3" s="57">
        <f t="shared" si="0"/>
        <v>0</v>
      </c>
    </row>
    <row r="4" spans="1:16">
      <c r="C4" s="54">
        <v>41273</v>
      </c>
      <c r="D4" s="54" t="s">
        <v>32</v>
      </c>
      <c r="E4" s="54"/>
      <c r="F4" s="42" t="s">
        <v>431</v>
      </c>
      <c r="G4" s="43" t="s">
        <v>437</v>
      </c>
      <c r="H4" s="51">
        <v>45649.487500000003</v>
      </c>
      <c r="I4" s="42" t="s">
        <v>438</v>
      </c>
      <c r="J4" s="42">
        <v>1</v>
      </c>
      <c r="K4" s="51">
        <v>45681.463888888888</v>
      </c>
      <c r="L4" s="6" t="s">
        <v>438</v>
      </c>
      <c r="M4" s="6">
        <v>1</v>
      </c>
      <c r="N4" s="42" t="s">
        <v>439</v>
      </c>
      <c r="O4" s="6">
        <f t="shared" si="1"/>
        <v>0</v>
      </c>
      <c r="P4" s="57">
        <f t="shared" si="0"/>
        <v>0</v>
      </c>
    </row>
    <row r="5" spans="1:16">
      <c r="C5" s="54">
        <v>46010</v>
      </c>
      <c r="D5" s="54" t="s">
        <v>32</v>
      </c>
      <c r="E5" s="54"/>
      <c r="F5" s="42" t="s">
        <v>431</v>
      </c>
      <c r="G5" s="43" t="s">
        <v>440</v>
      </c>
      <c r="H5" s="51">
        <v>45667.594444444447</v>
      </c>
      <c r="I5" s="42" t="s">
        <v>438</v>
      </c>
      <c r="J5" s="42">
        <v>1</v>
      </c>
      <c r="K5" s="51">
        <v>45681.491666666669</v>
      </c>
      <c r="L5" s="6" t="s">
        <v>438</v>
      </c>
      <c r="M5" s="6">
        <v>1</v>
      </c>
      <c r="N5" s="42" t="s">
        <v>439</v>
      </c>
      <c r="O5" s="6">
        <f t="shared" si="1"/>
        <v>0</v>
      </c>
      <c r="P5" s="57">
        <f t="shared" si="0"/>
        <v>0</v>
      </c>
    </row>
    <row r="6" spans="1:16">
      <c r="C6" s="54">
        <v>50820</v>
      </c>
      <c r="D6" s="54" t="s">
        <v>32</v>
      </c>
      <c r="E6" s="54"/>
      <c r="F6" s="42" t="s">
        <v>431</v>
      </c>
      <c r="G6" s="43" t="s">
        <v>441</v>
      </c>
      <c r="H6" s="51">
        <v>45691.732638888891</v>
      </c>
      <c r="I6" s="42" t="s">
        <v>442</v>
      </c>
      <c r="J6" s="42">
        <v>1</v>
      </c>
      <c r="K6" s="51">
        <v>45695.411805555559</v>
      </c>
      <c r="L6" s="6" t="s">
        <v>442</v>
      </c>
      <c r="M6" s="6">
        <v>1</v>
      </c>
      <c r="N6" s="42" t="s">
        <v>439</v>
      </c>
      <c r="O6" s="6">
        <f t="shared" si="1"/>
        <v>0</v>
      </c>
      <c r="P6" s="57">
        <f t="shared" si="0"/>
        <v>0</v>
      </c>
    </row>
    <row r="7" spans="1:16" ht="30">
      <c r="C7" s="54">
        <v>52227</v>
      </c>
      <c r="D7" s="54" t="s">
        <v>32</v>
      </c>
      <c r="E7" s="54"/>
      <c r="F7" s="42" t="s">
        <v>431</v>
      </c>
      <c r="G7" s="43" t="s">
        <v>443</v>
      </c>
      <c r="H7" s="51">
        <v>45698.453472222223</v>
      </c>
      <c r="I7" s="42" t="s">
        <v>442</v>
      </c>
      <c r="J7" s="42">
        <v>1</v>
      </c>
      <c r="K7" s="51">
        <v>45712.490277777775</v>
      </c>
      <c r="L7" s="6" t="s">
        <v>442</v>
      </c>
      <c r="M7" s="6">
        <v>1</v>
      </c>
      <c r="N7" s="42" t="s">
        <v>439</v>
      </c>
      <c r="O7" s="6">
        <f t="shared" si="1"/>
        <v>0</v>
      </c>
      <c r="P7" s="57">
        <f t="shared" si="0"/>
        <v>0</v>
      </c>
    </row>
    <row r="8" spans="1:16">
      <c r="C8" s="54">
        <v>53123</v>
      </c>
      <c r="D8" s="54" t="s">
        <v>44</v>
      </c>
      <c r="E8" s="54"/>
      <c r="F8" s="42" t="s">
        <v>431</v>
      </c>
      <c r="G8" s="43" t="s">
        <v>444</v>
      </c>
      <c r="H8" s="51">
        <v>45706.435416666667</v>
      </c>
      <c r="I8" s="42" t="s">
        <v>442</v>
      </c>
      <c r="J8" s="42">
        <v>1</v>
      </c>
      <c r="K8" s="51">
        <v>45712.429166666669</v>
      </c>
      <c r="L8" s="6" t="s">
        <v>442</v>
      </c>
      <c r="M8" s="6">
        <v>1</v>
      </c>
      <c r="N8" s="42" t="s">
        <v>439</v>
      </c>
      <c r="O8" s="6">
        <f t="shared" si="1"/>
        <v>0</v>
      </c>
      <c r="P8" s="57">
        <f t="shared" si="0"/>
        <v>0</v>
      </c>
    </row>
    <row r="9" spans="1:16" ht="30">
      <c r="C9" s="54">
        <v>53130</v>
      </c>
      <c r="D9" s="59" t="s">
        <v>32</v>
      </c>
      <c r="E9" s="59"/>
      <c r="F9" s="60" t="s">
        <v>431</v>
      </c>
      <c r="G9" s="61" t="s">
        <v>445</v>
      </c>
      <c r="H9" s="62">
        <v>45706.447222222225</v>
      </c>
      <c r="I9" s="60" t="s">
        <v>442</v>
      </c>
      <c r="J9" s="60">
        <v>1</v>
      </c>
      <c r="K9" s="62">
        <v>45740.695833333331</v>
      </c>
      <c r="L9" s="63" t="s">
        <v>446</v>
      </c>
      <c r="M9" s="63">
        <v>1</v>
      </c>
      <c r="N9" s="60" t="s">
        <v>439</v>
      </c>
      <c r="O9" s="63">
        <f t="shared" si="1"/>
        <v>0</v>
      </c>
      <c r="P9" s="57">
        <f t="shared" si="0"/>
        <v>0</v>
      </c>
    </row>
    <row r="10" spans="1:16">
      <c r="C10" s="54">
        <v>54926</v>
      </c>
      <c r="D10" s="42" t="s">
        <v>32</v>
      </c>
      <c r="E10" s="42"/>
      <c r="F10" s="42" t="s">
        <v>431</v>
      </c>
      <c r="G10" s="43" t="s">
        <v>447</v>
      </c>
      <c r="H10" s="51">
        <v>45714.780555555553</v>
      </c>
      <c r="I10" s="42" t="s">
        <v>446</v>
      </c>
      <c r="J10" s="42">
        <v>1</v>
      </c>
      <c r="K10" s="51">
        <v>45740.696527777778</v>
      </c>
      <c r="L10" s="6" t="s">
        <v>446</v>
      </c>
      <c r="M10" s="6">
        <v>1</v>
      </c>
      <c r="N10" s="42" t="s">
        <v>439</v>
      </c>
      <c r="O10" s="6">
        <f t="shared" si="1"/>
        <v>0</v>
      </c>
      <c r="P10" s="57">
        <f t="shared" si="0"/>
        <v>0</v>
      </c>
    </row>
    <row r="11" spans="1:16">
      <c r="C11" s="54">
        <v>54929</v>
      </c>
      <c r="D11" s="42" t="s">
        <v>32</v>
      </c>
      <c r="E11" s="42"/>
      <c r="F11" s="42" t="s">
        <v>431</v>
      </c>
      <c r="G11" s="43" t="s">
        <v>448</v>
      </c>
      <c r="H11" s="51">
        <v>45714.785416666666</v>
      </c>
      <c r="I11" s="42" t="s">
        <v>446</v>
      </c>
      <c r="J11" s="42">
        <v>1</v>
      </c>
      <c r="K11" s="51">
        <v>45740.696527777778</v>
      </c>
      <c r="L11" s="6" t="s">
        <v>446</v>
      </c>
      <c r="M11" s="6">
        <v>1</v>
      </c>
      <c r="N11" s="42" t="s">
        <v>439</v>
      </c>
      <c r="O11" s="6">
        <f t="shared" si="1"/>
        <v>0</v>
      </c>
      <c r="P11" s="57">
        <f t="shared" si="0"/>
        <v>0</v>
      </c>
    </row>
    <row r="12" spans="1:16">
      <c r="C12" s="54">
        <v>55572</v>
      </c>
      <c r="D12" s="42" t="s">
        <v>32</v>
      </c>
      <c r="E12" s="42"/>
      <c r="F12" s="42" t="s">
        <v>431</v>
      </c>
      <c r="G12" s="43" t="s">
        <v>449</v>
      </c>
      <c r="H12" s="51">
        <v>45721.500694444447</v>
      </c>
      <c r="I12" s="42" t="s">
        <v>446</v>
      </c>
      <c r="J12" s="42">
        <v>144</v>
      </c>
      <c r="K12" s="51">
        <v>45740.699305555558</v>
      </c>
      <c r="L12" s="6" t="s">
        <v>446</v>
      </c>
      <c r="M12" s="6">
        <v>45</v>
      </c>
      <c r="N12" s="42" t="s">
        <v>439</v>
      </c>
      <c r="O12" s="6">
        <f t="shared" si="1"/>
        <v>99</v>
      </c>
      <c r="P12" s="57">
        <f t="shared" ref="P12:P28" si="2">+(M12-J12)/J12</f>
        <v>-0.6875</v>
      </c>
    </row>
    <row r="13" spans="1:16" ht="30">
      <c r="C13" s="54">
        <v>59921</v>
      </c>
      <c r="D13" s="65" t="s">
        <v>37</v>
      </c>
      <c r="E13" s="65"/>
      <c r="F13" s="66" t="s">
        <v>431</v>
      </c>
      <c r="G13" s="67" t="s">
        <v>450</v>
      </c>
      <c r="H13" s="68">
        <v>45744.413194444445</v>
      </c>
      <c r="I13" s="66" t="s">
        <v>433</v>
      </c>
      <c r="J13" s="66">
        <v>1</v>
      </c>
      <c r="K13" s="68">
        <v>45754.729166666664</v>
      </c>
      <c r="L13" s="55" t="s">
        <v>433</v>
      </c>
      <c r="M13" s="55">
        <v>1</v>
      </c>
      <c r="N13" s="66" t="s">
        <v>439</v>
      </c>
      <c r="O13" s="55">
        <f t="shared" si="1"/>
        <v>0</v>
      </c>
      <c r="P13" s="57">
        <f t="shared" si="2"/>
        <v>0</v>
      </c>
    </row>
    <row r="14" spans="1:16" ht="30">
      <c r="C14" s="54">
        <v>62027</v>
      </c>
      <c r="D14" s="54" t="s">
        <v>44</v>
      </c>
      <c r="E14" s="54"/>
      <c r="F14" s="42" t="s">
        <v>431</v>
      </c>
      <c r="G14" s="43" t="s">
        <v>451</v>
      </c>
      <c r="H14" s="51">
        <v>45754.454861111109</v>
      </c>
      <c r="I14" s="42" t="s">
        <v>433</v>
      </c>
      <c r="J14" s="42">
        <v>1</v>
      </c>
      <c r="K14" s="51">
        <v>45792.43472222222</v>
      </c>
      <c r="L14" s="6" t="s">
        <v>452</v>
      </c>
      <c r="M14" s="6">
        <v>1</v>
      </c>
      <c r="N14" s="42" t="s">
        <v>439</v>
      </c>
      <c r="O14" s="6">
        <f t="shared" si="1"/>
        <v>0</v>
      </c>
      <c r="P14" s="57">
        <f t="shared" si="2"/>
        <v>0</v>
      </c>
    </row>
    <row r="15" spans="1:16">
      <c r="C15" s="54">
        <v>63400</v>
      </c>
      <c r="D15" s="54" t="s">
        <v>32</v>
      </c>
      <c r="E15" s="54"/>
      <c r="F15" s="42" t="s">
        <v>431</v>
      </c>
      <c r="G15" s="43" t="s">
        <v>453</v>
      </c>
      <c r="H15" s="51">
        <v>45762.452777777777</v>
      </c>
      <c r="I15" s="42" t="s">
        <v>433</v>
      </c>
      <c r="J15" s="42">
        <v>255</v>
      </c>
      <c r="K15" s="51">
        <v>45799.46875</v>
      </c>
      <c r="L15" s="6" t="s">
        <v>452</v>
      </c>
      <c r="M15" s="6">
        <v>74</v>
      </c>
      <c r="N15" s="42" t="s">
        <v>439</v>
      </c>
      <c r="O15" s="6">
        <f t="shared" si="1"/>
        <v>181</v>
      </c>
      <c r="P15" s="57">
        <f t="shared" si="2"/>
        <v>-0.70980392156862748</v>
      </c>
    </row>
    <row r="16" spans="1:16" ht="30">
      <c r="C16" s="54">
        <v>64788</v>
      </c>
      <c r="D16" s="54" t="s">
        <v>32</v>
      </c>
      <c r="E16" s="54"/>
      <c r="F16" s="42" t="s">
        <v>431</v>
      </c>
      <c r="G16" s="43" t="s">
        <v>454</v>
      </c>
      <c r="H16" s="51">
        <v>45771.736111111109</v>
      </c>
      <c r="I16" s="42" t="s">
        <v>452</v>
      </c>
      <c r="J16" s="42">
        <v>47</v>
      </c>
      <c r="K16" s="51">
        <v>45785.484722222223</v>
      </c>
      <c r="L16" s="6" t="s">
        <v>452</v>
      </c>
      <c r="M16" s="6">
        <v>29</v>
      </c>
      <c r="N16" s="42" t="s">
        <v>439</v>
      </c>
      <c r="O16" s="6">
        <f t="shared" si="1"/>
        <v>18</v>
      </c>
      <c r="P16" s="57">
        <f t="shared" si="2"/>
        <v>-0.38297872340425532</v>
      </c>
    </row>
    <row r="17" spans="3:16">
      <c r="C17" s="54">
        <v>67282</v>
      </c>
      <c r="D17" s="54" t="s">
        <v>32</v>
      </c>
      <c r="E17" s="54"/>
      <c r="F17" s="42" t="s">
        <v>431</v>
      </c>
      <c r="G17" s="43" t="s">
        <v>455</v>
      </c>
      <c r="H17" s="51">
        <v>45785.515972222223</v>
      </c>
      <c r="I17" s="42" t="s">
        <v>452</v>
      </c>
      <c r="J17" s="42">
        <v>99</v>
      </c>
      <c r="K17" s="51">
        <v>45793.414583333331</v>
      </c>
      <c r="L17" s="6" t="s">
        <v>452</v>
      </c>
      <c r="M17" s="6">
        <v>44</v>
      </c>
      <c r="N17" s="42" t="s">
        <v>439</v>
      </c>
      <c r="O17" s="6">
        <f t="shared" si="1"/>
        <v>55</v>
      </c>
      <c r="P17" s="57">
        <f t="shared" si="2"/>
        <v>-0.55555555555555558</v>
      </c>
    </row>
    <row r="18" spans="3:16">
      <c r="C18" s="54">
        <v>58493</v>
      </c>
      <c r="D18" s="54" t="s">
        <v>32</v>
      </c>
      <c r="E18" s="54"/>
      <c r="F18" s="42" t="s">
        <v>431</v>
      </c>
      <c r="G18" s="43" t="s">
        <v>456</v>
      </c>
      <c r="H18" s="51">
        <v>45741.459722222222</v>
      </c>
      <c r="I18" s="42" t="s">
        <v>433</v>
      </c>
      <c r="J18" s="42">
        <v>115</v>
      </c>
      <c r="K18" s="51">
        <v>45798.448611111111</v>
      </c>
      <c r="L18" s="6" t="s">
        <v>452</v>
      </c>
      <c r="M18" s="6">
        <v>96</v>
      </c>
      <c r="N18" s="42" t="s">
        <v>439</v>
      </c>
      <c r="O18" s="6">
        <f t="shared" si="1"/>
        <v>19</v>
      </c>
      <c r="P18" s="57">
        <f t="shared" si="2"/>
        <v>-0.16521739130434782</v>
      </c>
    </row>
    <row r="19" spans="3:16" ht="30">
      <c r="C19" s="54">
        <v>58498</v>
      </c>
      <c r="D19" s="54" t="s">
        <v>32</v>
      </c>
      <c r="E19" s="54"/>
      <c r="F19" s="42" t="s">
        <v>431</v>
      </c>
      <c r="G19" s="43" t="s">
        <v>457</v>
      </c>
      <c r="H19" s="51">
        <v>45741.477777777778</v>
      </c>
      <c r="I19" s="42" t="s">
        <v>433</v>
      </c>
      <c r="J19" s="42">
        <v>34</v>
      </c>
      <c r="K19" s="51">
        <v>45793.414583333331</v>
      </c>
      <c r="L19" s="6" t="s">
        <v>452</v>
      </c>
      <c r="M19" s="6">
        <v>17</v>
      </c>
      <c r="N19" s="42" t="s">
        <v>439</v>
      </c>
      <c r="O19" s="6">
        <f t="shared" si="1"/>
        <v>17</v>
      </c>
      <c r="P19" s="57">
        <f t="shared" si="2"/>
        <v>-0.5</v>
      </c>
    </row>
    <row r="20" spans="3:16" ht="30">
      <c r="C20" s="54">
        <v>68362</v>
      </c>
      <c r="D20" s="54" t="s">
        <v>32</v>
      </c>
      <c r="E20" s="54"/>
      <c r="F20" s="42" t="s">
        <v>458</v>
      </c>
      <c r="G20" s="43" t="s">
        <v>459</v>
      </c>
      <c r="H20" s="51">
        <v>45796.499305555553</v>
      </c>
      <c r="I20" s="42" t="s">
        <v>452</v>
      </c>
      <c r="J20" s="42">
        <v>1</v>
      </c>
      <c r="K20" s="51">
        <v>45825.415277777778</v>
      </c>
      <c r="L20" s="6" t="s">
        <v>436</v>
      </c>
      <c r="M20" s="6">
        <v>1</v>
      </c>
      <c r="N20" s="42" t="s">
        <v>439</v>
      </c>
      <c r="O20" s="6">
        <f t="shared" si="1"/>
        <v>0</v>
      </c>
      <c r="P20" s="57">
        <f t="shared" si="2"/>
        <v>0</v>
      </c>
    </row>
    <row r="21" spans="3:16">
      <c r="C21" s="54">
        <v>72577</v>
      </c>
      <c r="D21" s="54" t="s">
        <v>32</v>
      </c>
      <c r="E21" s="54"/>
      <c r="F21" s="42" t="s">
        <v>431</v>
      </c>
      <c r="G21" s="43" t="s">
        <v>460</v>
      </c>
      <c r="H21" s="51">
        <v>45812.665972222225</v>
      </c>
      <c r="I21" s="42" t="s">
        <v>436</v>
      </c>
      <c r="J21" s="42"/>
      <c r="K21" s="51">
        <v>45825.40902777778</v>
      </c>
      <c r="L21" s="6" t="s">
        <v>436</v>
      </c>
      <c r="N21" s="42" t="s">
        <v>439</v>
      </c>
      <c r="O21" s="6">
        <f t="shared" si="1"/>
        <v>0</v>
      </c>
      <c r="P21" s="57" t="e">
        <f t="shared" si="2"/>
        <v>#DIV/0!</v>
      </c>
    </row>
    <row r="22" spans="3:16">
      <c r="C22" s="54">
        <v>73746</v>
      </c>
      <c r="D22" s="54" t="s">
        <v>32</v>
      </c>
      <c r="E22" s="54"/>
      <c r="F22" s="42" t="s">
        <v>431</v>
      </c>
      <c r="G22" s="43" t="s">
        <v>461</v>
      </c>
      <c r="H22" s="51">
        <v>45824.717361111114</v>
      </c>
      <c r="I22" s="42" t="s">
        <v>436</v>
      </c>
      <c r="J22" s="42">
        <v>27</v>
      </c>
      <c r="K22" s="51">
        <v>45835.412499999999</v>
      </c>
      <c r="L22" s="6" t="s">
        <v>462</v>
      </c>
      <c r="M22" s="6">
        <v>6</v>
      </c>
      <c r="N22" s="42" t="s">
        <v>439</v>
      </c>
      <c r="O22" s="6">
        <f t="shared" si="1"/>
        <v>21</v>
      </c>
      <c r="P22" s="57">
        <f t="shared" si="2"/>
        <v>-0.77777777777777779</v>
      </c>
    </row>
    <row r="23" spans="3:16">
      <c r="C23" s="54">
        <v>73889</v>
      </c>
      <c r="D23" s="54" t="s">
        <v>32</v>
      </c>
      <c r="E23" s="54"/>
      <c r="F23" s="42" t="s">
        <v>431</v>
      </c>
      <c r="G23" s="43" t="s">
        <v>463</v>
      </c>
      <c r="H23" s="51">
        <v>45825.413888888892</v>
      </c>
      <c r="I23" s="42" t="s">
        <v>436</v>
      </c>
      <c r="J23" s="42">
        <v>17</v>
      </c>
      <c r="K23" s="51">
        <v>45835.412499999999</v>
      </c>
      <c r="L23" s="6" t="s">
        <v>462</v>
      </c>
      <c r="M23" s="6">
        <v>0</v>
      </c>
      <c r="N23" s="42" t="s">
        <v>439</v>
      </c>
      <c r="O23" s="6">
        <f t="shared" si="1"/>
        <v>17</v>
      </c>
      <c r="P23" s="57">
        <f t="shared" si="2"/>
        <v>-1</v>
      </c>
    </row>
    <row r="24" spans="3:16" ht="30">
      <c r="C24" s="54">
        <v>69091</v>
      </c>
      <c r="D24" s="54" t="s">
        <v>32</v>
      </c>
      <c r="E24" s="54"/>
      <c r="F24" s="42" t="s">
        <v>458</v>
      </c>
      <c r="G24" s="43" t="s">
        <v>464</v>
      </c>
      <c r="H24" s="51">
        <v>45799.734027777777</v>
      </c>
      <c r="I24" s="42" t="s">
        <v>436</v>
      </c>
      <c r="J24" s="42">
        <v>1</v>
      </c>
      <c r="K24" s="52"/>
      <c r="M24" s="6">
        <v>1</v>
      </c>
      <c r="N24" s="42" t="s">
        <v>465</v>
      </c>
      <c r="O24" s="6">
        <f t="shared" si="1"/>
        <v>0</v>
      </c>
      <c r="P24" s="57">
        <f t="shared" si="2"/>
        <v>0</v>
      </c>
    </row>
    <row r="25" spans="3:16" ht="30">
      <c r="C25" s="54">
        <v>68319</v>
      </c>
      <c r="D25" s="54" t="s">
        <v>32</v>
      </c>
      <c r="E25" s="54"/>
      <c r="F25" s="42" t="s">
        <v>458</v>
      </c>
      <c r="G25" s="43" t="s">
        <v>466</v>
      </c>
      <c r="H25" s="51">
        <v>45796.43472222222</v>
      </c>
      <c r="I25" s="42" t="s">
        <v>436</v>
      </c>
      <c r="J25" s="42">
        <v>1</v>
      </c>
      <c r="K25" s="52"/>
      <c r="M25" s="6">
        <v>1</v>
      </c>
      <c r="N25" s="42" t="s">
        <v>467</v>
      </c>
      <c r="O25" s="6">
        <f t="shared" si="1"/>
        <v>0</v>
      </c>
      <c r="P25" s="57">
        <f t="shared" si="2"/>
        <v>0</v>
      </c>
    </row>
    <row r="26" spans="3:16" ht="30">
      <c r="C26" s="54">
        <v>69096</v>
      </c>
      <c r="D26" s="54" t="s">
        <v>32</v>
      </c>
      <c r="E26" s="54"/>
      <c r="F26" s="42" t="s">
        <v>458</v>
      </c>
      <c r="G26" s="43" t="s">
        <v>468</v>
      </c>
      <c r="H26" s="51">
        <v>45799.745138888888</v>
      </c>
      <c r="I26" s="42" t="s">
        <v>436</v>
      </c>
      <c r="J26" s="42">
        <v>1</v>
      </c>
      <c r="K26" s="52"/>
      <c r="M26" s="6">
        <v>1</v>
      </c>
      <c r="N26" s="42" t="s">
        <v>469</v>
      </c>
      <c r="O26" s="6">
        <f t="shared" si="1"/>
        <v>0</v>
      </c>
      <c r="P26" s="57">
        <f t="shared" si="2"/>
        <v>0</v>
      </c>
    </row>
    <row r="27" spans="3:16">
      <c r="C27" s="54">
        <v>74283</v>
      </c>
      <c r="D27" s="54" t="s">
        <v>44</v>
      </c>
      <c r="E27" s="54"/>
      <c r="F27" s="42" t="s">
        <v>431</v>
      </c>
      <c r="G27" s="43" t="s">
        <v>470</v>
      </c>
      <c r="H27" s="51">
        <v>45826.443749999999</v>
      </c>
      <c r="I27" s="42" t="s">
        <v>436</v>
      </c>
      <c r="J27" s="42">
        <v>1</v>
      </c>
      <c r="K27" s="52"/>
      <c r="M27" s="6">
        <v>1</v>
      </c>
      <c r="N27" s="42" t="s">
        <v>471</v>
      </c>
      <c r="O27" s="6">
        <f t="shared" si="1"/>
        <v>0</v>
      </c>
      <c r="P27" s="57">
        <f t="shared" si="2"/>
        <v>0</v>
      </c>
    </row>
    <row r="28" spans="3:16">
      <c r="C28" s="54">
        <v>74284</v>
      </c>
      <c r="D28" s="59" t="s">
        <v>37</v>
      </c>
      <c r="E28" s="59"/>
      <c r="F28" s="60" t="s">
        <v>431</v>
      </c>
      <c r="G28" s="61" t="s">
        <v>472</v>
      </c>
      <c r="H28" s="62">
        <v>45826.444444444445</v>
      </c>
      <c r="I28" s="60" t="s">
        <v>436</v>
      </c>
      <c r="J28" s="60">
        <v>1</v>
      </c>
      <c r="K28" s="64"/>
      <c r="L28" s="63"/>
      <c r="M28" s="63">
        <v>1</v>
      </c>
      <c r="N28" s="60" t="s">
        <v>434</v>
      </c>
      <c r="O28" s="63">
        <f t="shared" si="1"/>
        <v>0</v>
      </c>
      <c r="P28" s="57">
        <f t="shared" si="2"/>
        <v>0</v>
      </c>
    </row>
  </sheetData>
  <autoFilter ref="A1:O28" xr:uid="{EE12C925-3D1C-44B3-B380-5ECC4C848827}"/>
  <conditionalFormatting sqref="A1:E1">
    <cfRule type="cellIs" dxfId="23" priority="1" operator="equal">
      <formula>3</formula>
    </cfRule>
    <cfRule type="cellIs" dxfId="22" priority="2" operator="equal">
      <formula>2</formula>
    </cfRule>
    <cfRule type="cellIs" dxfId="21" priority="3" operator="equal">
      <formula>1</formula>
    </cfRule>
  </conditionalFormatting>
  <conditionalFormatting sqref="N1:P1">
    <cfRule type="cellIs" dxfId="20" priority="4" operator="equal">
      <formula>"en regional"</formula>
    </cfRule>
    <cfRule type="cellIs" dxfId="19" priority="5" operator="equal">
      <formula>"regional"</formula>
    </cfRule>
    <cfRule type="cellIs" dxfId="18" priority="6" operator="equal">
      <formula>"asignado a dev"</formula>
    </cfRule>
    <cfRule type="cellIs" dxfId="17" priority="7" operator="equal">
      <formula>"seguimiento soporte"</formula>
    </cfRule>
    <cfRule type="cellIs" dxfId="16" priority="8" operator="equal">
      <formula>"solventado"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E464-D4A0-412F-933A-05271013AB83}">
  <sheetPr codeName="Hoja5"/>
  <dimension ref="A1:O1"/>
  <sheetViews>
    <sheetView workbookViewId="0">
      <selection activeCell="I25" sqref="I25"/>
    </sheetView>
  </sheetViews>
  <sheetFormatPr baseColWidth="10" defaultColWidth="9.140625" defaultRowHeight="15"/>
  <cols>
    <col min="2" max="2" width="6.28515625" bestFit="1" customWidth="1"/>
    <col min="6" max="6" width="14.85546875" customWidth="1"/>
    <col min="8" max="8" width="12.5703125" customWidth="1"/>
    <col min="10" max="10" width="11.85546875" customWidth="1"/>
    <col min="12" max="12" width="12.5703125" customWidth="1"/>
    <col min="15" max="15" width="15.140625" customWidth="1"/>
  </cols>
  <sheetData>
    <row r="1" spans="1:15" ht="45">
      <c r="A1" s="1" t="s">
        <v>2</v>
      </c>
      <c r="B1" s="1" t="s">
        <v>473</v>
      </c>
      <c r="C1" s="1" t="s">
        <v>3</v>
      </c>
      <c r="D1" s="1" t="s">
        <v>6</v>
      </c>
      <c r="E1" s="1" t="s">
        <v>8</v>
      </c>
      <c r="F1" s="2" t="s">
        <v>9</v>
      </c>
      <c r="G1" s="2" t="s">
        <v>12</v>
      </c>
      <c r="H1" s="1" t="s">
        <v>474</v>
      </c>
      <c r="I1" s="3" t="s">
        <v>475</v>
      </c>
      <c r="J1" s="3" t="s">
        <v>425</v>
      </c>
      <c r="K1" s="3" t="s">
        <v>13</v>
      </c>
      <c r="L1" s="3" t="s">
        <v>19</v>
      </c>
      <c r="M1" s="4" t="s">
        <v>400</v>
      </c>
      <c r="N1" s="4" t="s">
        <v>15</v>
      </c>
      <c r="O1" s="3" t="s">
        <v>476</v>
      </c>
    </row>
  </sheetData>
  <conditionalFormatting sqref="C1">
    <cfRule type="cellIs" dxfId="15" priority="1" operator="equal">
      <formula>3</formula>
    </cfRule>
    <cfRule type="cellIs" dxfId="14" priority="2" operator="equal">
      <formula>2</formula>
    </cfRule>
    <cfRule type="cellIs" dxfId="13" priority="3" operator="equal">
      <formula>1</formula>
    </cfRule>
  </conditionalFormatting>
  <conditionalFormatting sqref="K1">
    <cfRule type="cellIs" dxfId="12" priority="4" operator="equal">
      <formula>"en regional"</formula>
    </cfRule>
    <cfRule type="cellIs" dxfId="11" priority="5" operator="equal">
      <formula>"regional"</formula>
    </cfRule>
    <cfRule type="cellIs" dxfId="10" priority="6" operator="equal">
      <formula>"asignado a dev"</formula>
    </cfRule>
    <cfRule type="cellIs" dxfId="9" priority="7" operator="equal">
      <formula>"seguimiento soporte"</formula>
    </cfRule>
    <cfRule type="cellIs" dxfId="8" priority="8" operator="equal">
      <formula>"solventado"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6E5E-449F-44E7-9B70-B34D7D1C2113}">
  <sheetPr codeName="Hoja6"/>
  <dimension ref="A1:O1"/>
  <sheetViews>
    <sheetView workbookViewId="0">
      <selection activeCell="I25" sqref="I25"/>
    </sheetView>
  </sheetViews>
  <sheetFormatPr baseColWidth="10" defaultColWidth="13.140625" defaultRowHeight="15"/>
  <sheetData>
    <row r="1" spans="1:15" ht="45">
      <c r="A1" s="1" t="s">
        <v>2</v>
      </c>
      <c r="B1" s="1" t="s">
        <v>473</v>
      </c>
      <c r="C1" s="1" t="s">
        <v>3</v>
      </c>
      <c r="D1" s="1" t="s">
        <v>6</v>
      </c>
      <c r="E1" s="1" t="s">
        <v>8</v>
      </c>
      <c r="F1" s="2" t="s">
        <v>9</v>
      </c>
      <c r="G1" s="2" t="s">
        <v>12</v>
      </c>
      <c r="H1" s="1" t="s">
        <v>474</v>
      </c>
      <c r="I1" s="3" t="s">
        <v>475</v>
      </c>
      <c r="J1" s="3" t="s">
        <v>425</v>
      </c>
      <c r="K1" s="3" t="s">
        <v>13</v>
      </c>
      <c r="L1" s="3" t="s">
        <v>19</v>
      </c>
      <c r="M1" s="4" t="s">
        <v>400</v>
      </c>
      <c r="N1" s="4" t="s">
        <v>15</v>
      </c>
      <c r="O1" s="3" t="s">
        <v>476</v>
      </c>
    </row>
  </sheetData>
  <conditionalFormatting sqref="C1">
    <cfRule type="cellIs" dxfId="7" priority="1" operator="equal">
      <formula>3</formula>
    </cfRule>
    <cfRule type="cellIs" dxfId="6" priority="2" operator="equal">
      <formula>2</formula>
    </cfRule>
    <cfRule type="cellIs" dxfId="5" priority="3" operator="equal">
      <formula>1</formula>
    </cfRule>
  </conditionalFormatting>
  <conditionalFormatting sqref="K1">
    <cfRule type="cellIs" dxfId="4" priority="4" operator="equal">
      <formula>"en regional"</formula>
    </cfRule>
    <cfRule type="cellIs" dxfId="3" priority="5" operator="equal">
      <formula>"regional"</formula>
    </cfRule>
    <cfRule type="cellIs" dxfId="2" priority="6" operator="equal">
      <formula>"asignado a dev"</formula>
    </cfRule>
    <cfRule type="cellIs" dxfId="1" priority="7" operator="equal">
      <formula>"seguimiento soporte"</formula>
    </cfRule>
    <cfRule type="cellIs" dxfId="0" priority="8" operator="equal">
      <formula>"solventado"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SIR</vt:lpstr>
      <vt:lpstr>MXP</vt:lpstr>
      <vt:lpstr>Ecommerce</vt:lpstr>
      <vt:lpstr>S.I</vt:lpstr>
      <vt:lpstr>ERP</vt:lpstr>
    </vt:vector>
  </TitlesOfParts>
  <Manager/>
  <Company>KFC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Molina</dc:creator>
  <cp:keywords/>
  <dc:description/>
  <cp:lastModifiedBy>Stephanie Molina</cp:lastModifiedBy>
  <cp:revision/>
  <dcterms:created xsi:type="dcterms:W3CDTF">2024-03-12T20:03:55Z</dcterms:created>
  <dcterms:modified xsi:type="dcterms:W3CDTF">2026-07-30T22:32:22Z</dcterms:modified>
  <cp:category/>
  <cp:contentStatus/>
</cp:coreProperties>
</file>